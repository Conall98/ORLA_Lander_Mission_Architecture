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depaor2\Desktop\ORLA_Lander_Mission_Architecture\"/>
    </mc:Choice>
  </mc:AlternateContent>
  <xr:revisionPtr revIDLastSave="0" documentId="13_ncr:1_{81BB7434-60B7-45C6-9173-BE34E8C1FCD4}" xr6:coauthVersionLast="47" xr6:coauthVersionMax="47" xr10:uidLastSave="{00000000-0000-0000-0000-000000000000}"/>
  <bookViews>
    <workbookView xWindow="28680" yWindow="-120" windowWidth="29040" windowHeight="15720" xr2:uid="{445614D9-AB8F-4E7E-91D1-E797337732AC}"/>
  </bookViews>
  <sheets>
    <sheet name="Feuil1" sheetId="1" r:id="rId1"/>
    <sheet name="Feuil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2" i="1" l="1"/>
  <c r="H9" i="1" s="1" a="1"/>
  <c r="H9" i="1" s="1"/>
  <c r="H8" i="1" a="1"/>
  <c r="H8" i="1" s="1"/>
  <c r="H7" i="1" a="1"/>
  <c r="H7" i="1" s="1"/>
  <c r="H6" i="1" a="1"/>
  <c r="H6" i="1" s="1"/>
  <c r="H5" i="1" a="1"/>
  <c r="H5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<sst xmlns="http://schemas.openxmlformats.org/spreadsheetml/2006/main" count="124" uniqueCount="55">
  <si>
    <t>Life Cycle Cost</t>
  </si>
  <si>
    <t xml:space="preserve">Marginal Mission cost </t>
  </si>
  <si>
    <t>Specific Payload Delivery Cost</t>
  </si>
  <si>
    <t>Specific Payload Return Cost</t>
  </si>
  <si>
    <t>System Acquisition Cost</t>
  </si>
  <si>
    <t xml:space="preserve">[M€]    </t>
  </si>
  <si>
    <t xml:space="preserve">[€/kg]  </t>
  </si>
  <si>
    <t>MA1</t>
  </si>
  <si>
    <t>MA2</t>
  </si>
  <si>
    <t>MA3</t>
  </si>
  <si>
    <t>MA4</t>
  </si>
  <si>
    <t>MA5</t>
  </si>
  <si>
    <t>Lander mt</t>
  </si>
  <si>
    <t>Lander mprop</t>
  </si>
  <si>
    <t>Lander mdry</t>
  </si>
  <si>
    <t>Lander mp</t>
  </si>
  <si>
    <t>STR</t>
  </si>
  <si>
    <t>AOCS</t>
  </si>
  <si>
    <t>PRPLN</t>
  </si>
  <si>
    <t>THER</t>
  </si>
  <si>
    <t>POW</t>
  </si>
  <si>
    <t>AVIO</t>
  </si>
  <si>
    <t>a</t>
  </si>
  <si>
    <t>b</t>
  </si>
  <si>
    <t>c</t>
  </si>
  <si>
    <t>α</t>
  </si>
  <si>
    <t>β</t>
  </si>
  <si>
    <t>γ</t>
  </si>
  <si>
    <t>δ</t>
  </si>
  <si>
    <t>ε</t>
  </si>
  <si>
    <t>ζ</t>
  </si>
  <si>
    <t>η</t>
  </si>
  <si>
    <t>θ</t>
  </si>
  <si>
    <t>ι</t>
  </si>
  <si>
    <t>κ</t>
  </si>
  <si>
    <t>m_{dry}</t>
  </si>
  <si>
    <t>P</t>
  </si>
  <si>
    <t>D</t>
  </si>
  <si>
    <t>L</t>
  </si>
  <si>
    <t>N</t>
  </si>
  <si>
    <t>Y</t>
  </si>
  <si>
    <t>I</t>
  </si>
  <si>
    <t>E</t>
  </si>
  <si>
    <t>Data rate [percentile]</t>
  </si>
  <si>
    <t>New hardware percentage [%]</t>
  </si>
  <si>
    <t>Instrument Complexity [percentile]</t>
  </si>
  <si>
    <t>Inplanetary [True/False]</t>
  </si>
  <si>
    <t>System lifetime [months]</t>
  </si>
  <si>
    <t>Power level [W]</t>
  </si>
  <si>
    <t>Dry mass [kg]</t>
  </si>
  <si>
    <t>Team Experience [1-4]</t>
  </si>
  <si>
    <t>Year of phase A start [year]</t>
  </si>
  <si>
    <t>Coefficients</t>
  </si>
  <si>
    <t>Variables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</si>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</sst>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/>
    </xf>
    <xf numFmtId="1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D1EEE-7447-4E99-A041-A03D80BC56FB}">
  <dimension ref="B1:L34"/>
  <sheetViews>
    <sheetView tabSelected="1" workbookViewId="0">
      <selection activeCell="L25" sqref="L25"/>
    </sheetView>
  </sheetViews>
  <sheetFormatPr baseColWidth="10" defaultRowHeight="14.4" x14ac:dyDescent="0.3"/>
  <cols>
    <col min="2" max="2" width="36.88671875" bestFit="1" customWidth="1"/>
    <col min="8" max="8" width="17.33203125" customWidth="1"/>
    <col min="9" max="9" width="23.5546875" customWidth="1"/>
    <col min="10" max="10" width="33" customWidth="1"/>
    <col min="11" max="11" width="31" customWidth="1"/>
    <col min="12" max="12" width="26.6640625" customWidth="1"/>
  </cols>
  <sheetData>
    <row r="1" spans="2:12" x14ac:dyDescent="0.3">
      <c r="B1" t="s">
        <v>7</v>
      </c>
    </row>
    <row r="2" spans="2:12" x14ac:dyDescent="0.3">
      <c r="B2" t="s">
        <v>0</v>
      </c>
      <c r="C2" t="s">
        <v>5</v>
      </c>
      <c r="D2">
        <v>2137.9299999999998</v>
      </c>
    </row>
    <row r="3" spans="2:12" x14ac:dyDescent="0.3">
      <c r="B3" t="s">
        <v>1</v>
      </c>
      <c r="C3" t="s">
        <v>5</v>
      </c>
      <c r="D3">
        <v>86.002499999999998</v>
      </c>
      <c r="H3" s="2" t="s">
        <v>0</v>
      </c>
      <c r="I3" s="2" t="s">
        <v>1</v>
      </c>
      <c r="J3" s="2" t="s">
        <v>2</v>
      </c>
      <c r="K3" s="2" t="s">
        <v>3</v>
      </c>
      <c r="L3" s="2" t="s">
        <v>4</v>
      </c>
    </row>
    <row r="4" spans="2:12" x14ac:dyDescent="0.3">
      <c r="B4" t="s">
        <v>2</v>
      </c>
      <c r="C4" t="s">
        <v>6</v>
      </c>
      <c r="D4">
        <v>482292.5</v>
      </c>
      <c r="H4" s="2" t="s">
        <v>5</v>
      </c>
      <c r="I4" s="2" t="s">
        <v>5</v>
      </c>
      <c r="J4" s="2" t="s">
        <v>6</v>
      </c>
      <c r="K4" s="2" t="s">
        <v>6</v>
      </c>
      <c r="L4" s="2" t="s">
        <v>5</v>
      </c>
    </row>
    <row r="5" spans="2:12" x14ac:dyDescent="0.3">
      <c r="B5" t="s">
        <v>3</v>
      </c>
      <c r="C5" t="s">
        <v>6</v>
      </c>
      <c r="D5">
        <v>52190</v>
      </c>
      <c r="G5" s="1" t="s">
        <v>7</v>
      </c>
      <c r="H5" s="3" cm="1">
        <f t="array" ref="H5:L5">TRANSPOSE(D2:D6)</f>
        <v>2137.9299999999998</v>
      </c>
      <c r="I5" s="3">
        <v>86.002499999999998</v>
      </c>
      <c r="J5" s="3">
        <v>482292.5</v>
      </c>
      <c r="K5" s="3">
        <v>52190</v>
      </c>
      <c r="L5" s="3">
        <v>417.88</v>
      </c>
    </row>
    <row r="6" spans="2:12" x14ac:dyDescent="0.3">
      <c r="B6" t="s">
        <v>4</v>
      </c>
      <c r="C6" t="s">
        <v>5</v>
      </c>
      <c r="D6">
        <v>417.88</v>
      </c>
      <c r="G6" s="1" t="s">
        <v>8</v>
      </c>
      <c r="H6" s="3" cm="1">
        <f t="array" ref="H6:L6">TRANSPOSE(D9:D13)</f>
        <v>3174.51</v>
      </c>
      <c r="I6" s="3">
        <v>100.053</v>
      </c>
      <c r="J6" s="3">
        <v>713072.5</v>
      </c>
      <c r="K6" s="3">
        <v>80555</v>
      </c>
      <c r="L6" s="3">
        <v>1173.45</v>
      </c>
    </row>
    <row r="7" spans="2:12" x14ac:dyDescent="0.3">
      <c r="G7" s="1" t="s">
        <v>9</v>
      </c>
      <c r="H7" s="3" cm="1">
        <f t="array" ref="H7:L7">TRANSPOSE(D16:D20)</f>
        <v>2942.83</v>
      </c>
      <c r="I7" s="3">
        <v>104.669</v>
      </c>
      <c r="J7" s="3">
        <v>667315</v>
      </c>
      <c r="K7" s="3">
        <v>68392.5</v>
      </c>
      <c r="L7" s="3">
        <v>849.45</v>
      </c>
    </row>
    <row r="8" spans="2:12" x14ac:dyDescent="0.3">
      <c r="B8" t="s">
        <v>8</v>
      </c>
      <c r="G8" s="1" t="s">
        <v>10</v>
      </c>
      <c r="H8" s="3" cm="1">
        <f t="array" ref="H8:L8">TRANSPOSE(D23:D27)</f>
        <v>1870.94</v>
      </c>
      <c r="I8" s="3">
        <v>60.367999999999903</v>
      </c>
      <c r="J8" s="3">
        <v>406320</v>
      </c>
      <c r="K8" s="3">
        <v>61415</v>
      </c>
      <c r="L8" s="3">
        <v>663.58</v>
      </c>
    </row>
    <row r="9" spans="2:12" x14ac:dyDescent="0.3">
      <c r="B9" t="s">
        <v>0</v>
      </c>
      <c r="C9" t="s">
        <v>5</v>
      </c>
      <c r="D9">
        <v>3174.51</v>
      </c>
      <c r="G9" s="1" t="s">
        <v>11</v>
      </c>
      <c r="H9" s="3" cm="1">
        <f t="array" ref="H9:L9">TRANSPOSE(D30:D34)</f>
        <v>1696.95</v>
      </c>
      <c r="I9" s="3">
        <v>73.786000000000001</v>
      </c>
      <c r="J9" s="3">
        <v>424237.5</v>
      </c>
      <c r="K9" s="3" t="str">
        <v>-</v>
      </c>
      <c r="L9" s="3">
        <v>221.23</v>
      </c>
    </row>
    <row r="10" spans="2:12" x14ac:dyDescent="0.3">
      <c r="B10" t="s">
        <v>1</v>
      </c>
      <c r="C10" t="s">
        <v>5</v>
      </c>
      <c r="D10">
        <v>100.053</v>
      </c>
    </row>
    <row r="11" spans="2:12" x14ac:dyDescent="0.3">
      <c r="B11" t="s">
        <v>2</v>
      </c>
      <c r="C11" t="s">
        <v>6</v>
      </c>
      <c r="D11">
        <v>713072.5</v>
      </c>
    </row>
    <row r="12" spans="2:12" x14ac:dyDescent="0.3">
      <c r="B12" t="s">
        <v>3</v>
      </c>
      <c r="C12" t="s">
        <v>6</v>
      </c>
      <c r="D12">
        <v>80555</v>
      </c>
      <c r="G12" s="1"/>
      <c r="H12" s="1" t="s">
        <v>12</v>
      </c>
      <c r="I12" s="1" t="s">
        <v>13</v>
      </c>
      <c r="J12" s="1" t="s">
        <v>14</v>
      </c>
      <c r="K12" s="1" t="s">
        <v>15</v>
      </c>
      <c r="L12" s="1"/>
    </row>
    <row r="13" spans="2:12" x14ac:dyDescent="0.3">
      <c r="B13" t="s">
        <v>4</v>
      </c>
      <c r="C13" t="s">
        <v>5</v>
      </c>
      <c r="D13">
        <v>1173.45</v>
      </c>
      <c r="G13" s="1"/>
      <c r="H13" s="1" t="s">
        <v>5</v>
      </c>
      <c r="I13" s="1" t="s">
        <v>5</v>
      </c>
      <c r="J13" s="1" t="s">
        <v>6</v>
      </c>
      <c r="K13" s="1" t="s">
        <v>6</v>
      </c>
      <c r="L13" s="1" t="s">
        <v>5</v>
      </c>
    </row>
    <row r="14" spans="2:12" x14ac:dyDescent="0.3">
      <c r="G14" s="1" t="s">
        <v>7</v>
      </c>
      <c r="H14" s="4">
        <v>2143.9</v>
      </c>
      <c r="I14" s="4">
        <v>86.204999999999998</v>
      </c>
      <c r="J14" s="4">
        <v>535975</v>
      </c>
      <c r="K14" s="4">
        <v>535975</v>
      </c>
      <c r="L14" s="4">
        <v>419.8</v>
      </c>
    </row>
    <row r="15" spans="2:12" x14ac:dyDescent="0.3">
      <c r="B15" t="s">
        <v>9</v>
      </c>
      <c r="G15" s="1" t="s">
        <v>8</v>
      </c>
      <c r="H15" s="4">
        <v>3178.33</v>
      </c>
      <c r="I15" s="4">
        <v>100.148</v>
      </c>
      <c r="J15" s="4">
        <v>794582.49999999895</v>
      </c>
      <c r="K15" s="4">
        <v>794582.49999999895</v>
      </c>
      <c r="L15" s="4">
        <v>1175.3699999999999</v>
      </c>
    </row>
    <row r="16" spans="2:12" x14ac:dyDescent="0.3">
      <c r="B16" t="s">
        <v>0</v>
      </c>
      <c r="C16" t="s">
        <v>5</v>
      </c>
      <c r="D16">
        <v>2942.83</v>
      </c>
      <c r="G16" s="1" t="s">
        <v>9</v>
      </c>
      <c r="H16" s="4">
        <v>2946.65</v>
      </c>
      <c r="I16" s="4">
        <v>104.764</v>
      </c>
      <c r="J16" s="4">
        <v>736662.5</v>
      </c>
      <c r="K16" s="4">
        <v>736662.5</v>
      </c>
      <c r="L16" s="4">
        <v>851.37</v>
      </c>
    </row>
    <row r="17" spans="2:12" x14ac:dyDescent="0.3">
      <c r="B17" t="s">
        <v>1</v>
      </c>
      <c r="C17" t="s">
        <v>5</v>
      </c>
      <c r="D17">
        <v>104.669</v>
      </c>
      <c r="G17" s="1" t="s">
        <v>10</v>
      </c>
      <c r="H17" s="4">
        <v>1874.76</v>
      </c>
      <c r="I17" s="4">
        <v>60.463499999999897</v>
      </c>
      <c r="J17" s="4">
        <v>468690</v>
      </c>
      <c r="K17" s="4">
        <v>468690</v>
      </c>
      <c r="L17" s="4">
        <v>665.5</v>
      </c>
    </row>
    <row r="18" spans="2:12" x14ac:dyDescent="0.3">
      <c r="B18" t="s">
        <v>2</v>
      </c>
      <c r="C18" t="s">
        <v>6</v>
      </c>
      <c r="D18">
        <v>667315</v>
      </c>
      <c r="G18" s="1" t="s">
        <v>11</v>
      </c>
      <c r="H18" s="4">
        <v>1707.63</v>
      </c>
      <c r="I18" s="4">
        <v>73.915999999999997</v>
      </c>
      <c r="J18" s="4">
        <v>426907.5</v>
      </c>
      <c r="K18" s="4">
        <v>426907.5</v>
      </c>
      <c r="L18" s="4">
        <v>229.31</v>
      </c>
    </row>
    <row r="19" spans="2:12" x14ac:dyDescent="0.3">
      <c r="B19" t="s">
        <v>3</v>
      </c>
      <c r="C19" t="s">
        <v>6</v>
      </c>
      <c r="D19">
        <v>68392.5</v>
      </c>
    </row>
    <row r="20" spans="2:12" x14ac:dyDescent="0.3">
      <c r="B20" t="s">
        <v>4</v>
      </c>
      <c r="C20" t="s">
        <v>5</v>
      </c>
      <c r="D20">
        <v>849.45</v>
      </c>
    </row>
    <row r="22" spans="2:12" x14ac:dyDescent="0.3">
      <c r="B22" t="s">
        <v>10</v>
      </c>
    </row>
    <row r="23" spans="2:12" x14ac:dyDescent="0.3">
      <c r="B23" t="s">
        <v>0</v>
      </c>
      <c r="C23" t="s">
        <v>5</v>
      </c>
      <c r="D23">
        <v>1870.94</v>
      </c>
    </row>
    <row r="24" spans="2:12" x14ac:dyDescent="0.3">
      <c r="B24" t="s">
        <v>1</v>
      </c>
      <c r="C24" t="s">
        <v>5</v>
      </c>
      <c r="D24">
        <v>60.367999999999903</v>
      </c>
    </row>
    <row r="25" spans="2:12" x14ac:dyDescent="0.3">
      <c r="B25" t="s">
        <v>2</v>
      </c>
      <c r="C25" t="s">
        <v>6</v>
      </c>
      <c r="D25">
        <v>406320</v>
      </c>
    </row>
    <row r="26" spans="2:12" x14ac:dyDescent="0.3">
      <c r="B26" t="s">
        <v>3</v>
      </c>
      <c r="C26" t="s">
        <v>6</v>
      </c>
      <c r="D26">
        <v>61415</v>
      </c>
    </row>
    <row r="27" spans="2:12" x14ac:dyDescent="0.3">
      <c r="B27" t="s">
        <v>4</v>
      </c>
      <c r="C27" t="s">
        <v>5</v>
      </c>
      <c r="D27">
        <v>663.58</v>
      </c>
    </row>
    <row r="29" spans="2:12" x14ac:dyDescent="0.3">
      <c r="B29" t="s">
        <v>11</v>
      </c>
    </row>
    <row r="30" spans="2:12" x14ac:dyDescent="0.3">
      <c r="B30" t="s">
        <v>0</v>
      </c>
      <c r="C30" t="s">
        <v>5</v>
      </c>
      <c r="D30">
        <v>1696.95</v>
      </c>
    </row>
    <row r="31" spans="2:12" x14ac:dyDescent="0.3">
      <c r="B31" t="s">
        <v>1</v>
      </c>
      <c r="C31" t="s">
        <v>5</v>
      </c>
      <c r="D31">
        <v>73.786000000000001</v>
      </c>
    </row>
    <row r="32" spans="2:12" x14ac:dyDescent="0.3">
      <c r="B32" t="s">
        <v>2</v>
      </c>
      <c r="C32" t="s">
        <v>6</v>
      </c>
      <c r="D32">
        <f>406257.5+17980</f>
        <v>424237.5</v>
      </c>
    </row>
    <row r="33" spans="2:4" x14ac:dyDescent="0.3">
      <c r="B33" t="s">
        <v>3</v>
      </c>
      <c r="C33" t="s">
        <v>6</v>
      </c>
      <c r="D33" s="10" t="s">
        <v>54</v>
      </c>
    </row>
    <row r="34" spans="2:4" x14ac:dyDescent="0.3">
      <c r="B34" t="s">
        <v>4</v>
      </c>
      <c r="C34" t="s">
        <v>5</v>
      </c>
      <c r="D34">
        <v>221.23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7E636-C471-4278-8DEE-95918C1B7BF7}">
  <dimension ref="C2:J25"/>
  <sheetViews>
    <sheetView topLeftCell="C1" workbookViewId="0">
      <selection activeCell="G10" sqref="G10:J20"/>
    </sheetView>
  </sheetViews>
  <sheetFormatPr baseColWidth="10" defaultRowHeight="14.4" x14ac:dyDescent="0.3"/>
  <cols>
    <col min="8" max="8" width="31.33203125" bestFit="1" customWidth="1"/>
  </cols>
  <sheetData>
    <row r="2" spans="3:10" x14ac:dyDescent="0.3">
      <c r="D2" s="1" t="s">
        <v>22</v>
      </c>
      <c r="E2" s="1" t="s">
        <v>23</v>
      </c>
      <c r="F2" s="1" t="s">
        <v>24</v>
      </c>
    </row>
    <row r="3" spans="3:10" x14ac:dyDescent="0.3">
      <c r="C3" t="s">
        <v>16</v>
      </c>
      <c r="D3" s="6">
        <v>22.33</v>
      </c>
      <c r="E3" s="3">
        <v>53187</v>
      </c>
      <c r="F3" s="5">
        <v>3000000</v>
      </c>
    </row>
    <row r="4" spans="3:10" x14ac:dyDescent="0.3">
      <c r="C4" t="s">
        <v>17</v>
      </c>
      <c r="D4" s="6">
        <v>-62.302</v>
      </c>
      <c r="E4" s="3">
        <v>148512</v>
      </c>
      <c r="F4" s="5">
        <v>5000000</v>
      </c>
    </row>
    <row r="5" spans="3:10" x14ac:dyDescent="0.3">
      <c r="C5" t="s">
        <v>18</v>
      </c>
      <c r="D5" s="6">
        <v>-41.917999999999999</v>
      </c>
      <c r="E5" s="3">
        <v>99640</v>
      </c>
      <c r="F5" s="5">
        <v>5000000</v>
      </c>
    </row>
    <row r="6" spans="3:10" x14ac:dyDescent="0.3">
      <c r="C6" t="s">
        <v>19</v>
      </c>
      <c r="D6" s="6">
        <v>-16.98</v>
      </c>
      <c r="E6" s="3">
        <v>40326</v>
      </c>
      <c r="F6" s="5">
        <v>2000000</v>
      </c>
    </row>
    <row r="7" spans="3:10" x14ac:dyDescent="0.3">
      <c r="C7" t="s">
        <v>20</v>
      </c>
      <c r="D7" s="6">
        <v>-65.338999999999999</v>
      </c>
      <c r="E7" s="3">
        <v>155462</v>
      </c>
      <c r="F7" s="5">
        <v>8000000</v>
      </c>
    </row>
    <row r="8" spans="3:10" x14ac:dyDescent="0.3">
      <c r="C8" t="s">
        <v>21</v>
      </c>
      <c r="D8" s="6">
        <v>-74.614000000000004</v>
      </c>
      <c r="E8" s="3">
        <v>177722</v>
      </c>
      <c r="F8" s="5">
        <v>9000000</v>
      </c>
    </row>
    <row r="10" spans="3:10" x14ac:dyDescent="0.3">
      <c r="G10" s="9" t="s">
        <v>53</v>
      </c>
      <c r="H10" s="9"/>
      <c r="I10" s="9" t="s">
        <v>52</v>
      </c>
      <c r="J10" s="9"/>
    </row>
    <row r="11" spans="3:10" x14ac:dyDescent="0.3">
      <c r="C11" s="7"/>
      <c r="G11" s="1" t="s">
        <v>35</v>
      </c>
      <c r="H11" t="s">
        <v>49</v>
      </c>
      <c r="I11" s="7" t="s">
        <v>25</v>
      </c>
      <c r="J11" s="7">
        <v>2.8929</v>
      </c>
    </row>
    <row r="12" spans="3:10" x14ac:dyDescent="0.3">
      <c r="C12" s="7"/>
      <c r="G12" s="1" t="s">
        <v>36</v>
      </c>
      <c r="H12" t="s">
        <v>48</v>
      </c>
      <c r="I12" s="7" t="s">
        <v>26</v>
      </c>
      <c r="J12" s="7">
        <v>0.45700000000000002</v>
      </c>
    </row>
    <row r="13" spans="3:10" x14ac:dyDescent="0.3">
      <c r="C13" s="7"/>
      <c r="G13" s="1" t="s">
        <v>37</v>
      </c>
      <c r="H13" t="s">
        <v>43</v>
      </c>
      <c r="I13" s="7" t="s">
        <v>27</v>
      </c>
      <c r="J13" s="7">
        <v>0.157</v>
      </c>
    </row>
    <row r="14" spans="3:10" x14ac:dyDescent="0.3">
      <c r="C14" s="7"/>
      <c r="G14" s="1" t="s">
        <v>38</v>
      </c>
      <c r="H14" t="s">
        <v>47</v>
      </c>
      <c r="I14" s="7" t="s">
        <v>28</v>
      </c>
      <c r="J14" s="7">
        <v>0.17100000000000001</v>
      </c>
    </row>
    <row r="15" spans="3:10" x14ac:dyDescent="0.3">
      <c r="C15" s="7"/>
      <c r="G15" s="1" t="s">
        <v>39</v>
      </c>
      <c r="H15" t="s">
        <v>44</v>
      </c>
      <c r="I15" s="7" t="s">
        <v>29</v>
      </c>
      <c r="J15" s="7">
        <v>2.0899999999999998E-3</v>
      </c>
    </row>
    <row r="16" spans="3:10" x14ac:dyDescent="0.3">
      <c r="C16" s="7"/>
      <c r="G16" s="1" t="s">
        <v>36</v>
      </c>
      <c r="H16" t="s">
        <v>46</v>
      </c>
      <c r="I16" s="7" t="s">
        <v>30</v>
      </c>
      <c r="J16" s="7">
        <v>1.52</v>
      </c>
    </row>
    <row r="17" spans="3:10" x14ac:dyDescent="0.3">
      <c r="C17" s="7"/>
      <c r="G17" s="1" t="s">
        <v>40</v>
      </c>
      <c r="H17" t="s">
        <v>51</v>
      </c>
      <c r="I17" s="7" t="s">
        <v>31</v>
      </c>
      <c r="J17" s="7">
        <v>0.25800000000000001</v>
      </c>
    </row>
    <row r="18" spans="3:10" x14ac:dyDescent="0.3">
      <c r="C18" s="7"/>
      <c r="G18" s="1" t="s">
        <v>41</v>
      </c>
      <c r="H18" t="s">
        <v>45</v>
      </c>
      <c r="I18" s="7" t="s">
        <v>32</v>
      </c>
      <c r="J18" s="7">
        <v>1.4500000000000001E-2</v>
      </c>
    </row>
    <row r="19" spans="3:10" x14ac:dyDescent="0.3">
      <c r="C19" s="7"/>
      <c r="G19" s="1" t="s">
        <v>42</v>
      </c>
      <c r="H19" t="s">
        <v>50</v>
      </c>
      <c r="I19" s="7" t="s">
        <v>33</v>
      </c>
      <c r="J19" s="7">
        <v>0.46700000000000003</v>
      </c>
    </row>
    <row r="20" spans="3:10" x14ac:dyDescent="0.3">
      <c r="C20" s="7"/>
      <c r="G20" s="7"/>
      <c r="I20" s="7" t="s">
        <v>34</v>
      </c>
      <c r="J20" s="7">
        <v>0.23699999999999999</v>
      </c>
    </row>
    <row r="21" spans="3:10" x14ac:dyDescent="0.3">
      <c r="C21" s="7"/>
      <c r="D21" s="7"/>
      <c r="E21" s="7"/>
      <c r="F21" s="7"/>
      <c r="G21" s="7"/>
    </row>
    <row r="22" spans="3:10" x14ac:dyDescent="0.3">
      <c r="C22" s="7"/>
      <c r="D22" s="7"/>
      <c r="E22" s="7"/>
      <c r="F22" s="7"/>
      <c r="G22" s="7"/>
    </row>
    <row r="23" spans="3:10" x14ac:dyDescent="0.3">
      <c r="C23" s="7"/>
      <c r="D23" s="7"/>
      <c r="E23" s="7"/>
      <c r="F23" s="7"/>
      <c r="G23" s="7"/>
    </row>
    <row r="24" spans="3:10" x14ac:dyDescent="0.3">
      <c r="C24" s="7"/>
      <c r="D24" s="7"/>
      <c r="E24" s="7"/>
      <c r="F24" s="7"/>
      <c r="G24" s="7"/>
    </row>
    <row r="25" spans="3:10" x14ac:dyDescent="0.3">
      <c r="C25" s="7"/>
      <c r="D25" s="7"/>
      <c r="E25" s="7"/>
      <c r="F25" s="7"/>
      <c r="G25" s="8"/>
    </row>
  </sheetData>
  <mergeCells count="2">
    <mergeCell ref="I10:J10"/>
    <mergeCell ref="G10:H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Conall DE PAOR</dc:creator>
  <cp:lastModifiedBy>Conall DE PAOR</cp:lastModifiedBy>
  <dcterms:created xsi:type="dcterms:W3CDTF">2025-03-28T16:59:44Z</dcterms:created>
  <dcterms:modified xsi:type="dcterms:W3CDTF">2025-04-07T17:54:02Z</dcterms:modified>
</cp:coreProperties>
</file>