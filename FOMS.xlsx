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ORLA_Lander_Mission_Architecture\"/>
    </mc:Choice>
  </mc:AlternateContent>
  <xr:revisionPtr revIDLastSave="0" documentId="13_ncr:1_{D1AE4056-D25F-4C08-8B32-54772DC3C627}" xr6:coauthVersionLast="47" xr6:coauthVersionMax="47" xr10:uidLastSave="{00000000-0000-0000-0000-000000000000}"/>
  <bookViews>
    <workbookView xWindow="-108" yWindow="-108" windowWidth="23256" windowHeight="12456" xr2:uid="{8178484C-9A59-408C-9061-605DB68B52F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/>
  <c r="G6" i="1"/>
  <c r="H6" i="1"/>
  <c r="D6" i="1"/>
  <c r="E12" i="1"/>
  <c r="F12" i="1"/>
  <c r="G12" i="1"/>
  <c r="H12" i="1"/>
  <c r="D12" i="1"/>
  <c r="E5" i="1"/>
  <c r="F5" i="1"/>
  <c r="G5" i="1"/>
  <c r="H5" i="1"/>
  <c r="D5" i="1"/>
  <c r="E4" i="1"/>
  <c r="F4" i="1"/>
  <c r="G4" i="1"/>
  <c r="H4" i="1"/>
  <c r="D4" i="1"/>
  <c r="H3" i="1"/>
  <c r="G3" i="1"/>
  <c r="F3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</authors>
  <commentList>
    <comment ref="B4" authorId="0" shapeId="0" xr:uid="{6946B97D-A1D2-490D-905F-28BE2592E0C9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operations cost divided by total number of missions</t>
        </r>
      </text>
    </comment>
    <comment ref="B5" authorId="0" shapeId="0" xr:uid="{7D509636-A643-427E-92CF-68576254726A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Marginal Mission Cost / kgs delivered
</t>
        </r>
      </text>
    </comment>
    <comment ref="B8" authorId="0" shapeId="0" xr:uid="{04FD7FCE-7F77-40E8-88BC-29A5F9EFDEA7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Should not trade parameters which are already set</t>
        </r>
      </text>
    </comment>
  </commentList>
</comments>
</file>

<file path=xl/sharedStrings.xml><?xml version="1.0" encoding="utf-8"?>
<sst xmlns="http://schemas.openxmlformats.org/spreadsheetml/2006/main" count="35" uniqueCount="30">
  <si>
    <t>FOMS</t>
  </si>
  <si>
    <t>System Acquisition Cost</t>
  </si>
  <si>
    <t>Marginal Mission Cost</t>
  </si>
  <si>
    <t>Delivery Time</t>
  </si>
  <si>
    <t>Landed Payload</t>
  </si>
  <si>
    <t>Returned Payload</t>
  </si>
  <si>
    <t>Specific Payload Delivery Cost</t>
  </si>
  <si>
    <t>Specific Payload Return Cost</t>
  </si>
  <si>
    <t>units</t>
  </si>
  <si>
    <t>€</t>
  </si>
  <si>
    <t>€/kg</t>
  </si>
  <si>
    <t>hrs</t>
  </si>
  <si>
    <t>kg</t>
  </si>
  <si>
    <t>MA1</t>
  </si>
  <si>
    <t>MA2</t>
  </si>
  <si>
    <t>MA3</t>
  </si>
  <si>
    <t>MA4</t>
  </si>
  <si>
    <t>MA5</t>
  </si>
  <si>
    <t>Life Cycle Cost</t>
  </si>
  <si>
    <t>Operations Cost</t>
  </si>
  <si>
    <t>Life Cycle Per kg Cost</t>
  </si>
  <si>
    <t>what am I actually measuring well</t>
  </si>
  <si>
    <t>LCC</t>
  </si>
  <si>
    <t>IMLEO</t>
  </si>
  <si>
    <t>mprop</t>
  </si>
  <si>
    <t>from these I should get</t>
  </si>
  <si>
    <t>delivery cost per kg</t>
  </si>
  <si>
    <t>marginal mission cost</t>
  </si>
  <si>
    <t>for the operations you are really missiong an estimate of the ground segment</t>
  </si>
  <si>
    <t>Global mission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</si>
</sst>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1" xfId="0" applyNumberFormat="1" applyBorder="1"/>
    <xf numFmtId="4" fontId="0" fillId="0" borderId="2" xfId="0" applyNumberFormat="1" applyBorder="1" applyAlignment="1">
      <alignment horizontal="center"/>
    </xf>
    <xf numFmtId="4" fontId="0" fillId="0" borderId="3" xfId="0" applyNumberFormat="1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4" fontId="0" fillId="0" borderId="9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/>
    <xf numFmtId="4" fontId="0" fillId="2" borderId="3" xfId="0" applyNumberFormat="1" applyFill="1" applyBorder="1"/>
    <xf numFmtId="4" fontId="0" fillId="2" borderId="0" xfId="0" applyNumberFormat="1" applyFill="1" applyAlignment="1">
      <alignment horizontal="center"/>
    </xf>
    <xf numFmtId="4" fontId="0" fillId="2" borderId="7" xfId="0" applyNumberFormat="1" applyFill="1" applyBorder="1" applyAlignment="1">
      <alignment horizontal="center"/>
    </xf>
    <xf numFmtId="4" fontId="0" fillId="2" borderId="11" xfId="0" applyNumberFormat="1" applyFill="1" applyBorder="1" applyAlignment="1">
      <alignment horizontal="center"/>
    </xf>
    <xf numFmtId="4" fontId="0" fillId="2" borderId="5" xfId="0" applyNumberFormat="1" applyFill="1" applyBorder="1"/>
    <xf numFmtId="4" fontId="0" fillId="2" borderId="6" xfId="0" applyNumberFormat="1" applyFill="1" applyBorder="1" applyAlignment="1">
      <alignment horizontal="center"/>
    </xf>
    <xf numFmtId="4" fontId="0" fillId="2" borderId="12" xfId="0" applyNumberFormat="1" applyFill="1" applyBorder="1" applyAlignment="1">
      <alignment horizontal="center"/>
    </xf>
    <xf numFmtId="4" fontId="0" fillId="2" borderId="13" xfId="0" applyNumberFormat="1" applyFill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3462-C63A-4E9A-8D19-091AF6DE4468}">
  <dimension ref="B1:M13"/>
  <sheetViews>
    <sheetView tabSelected="1" workbookViewId="0">
      <selection activeCell="P12" sqref="P12"/>
    </sheetView>
  </sheetViews>
  <sheetFormatPr baseColWidth="10" defaultRowHeight="14.4" x14ac:dyDescent="0.3"/>
  <cols>
    <col min="2" max="2" width="30.6640625" customWidth="1"/>
    <col min="4" max="4" width="18.33203125" customWidth="1"/>
    <col min="5" max="5" width="18.88671875" customWidth="1"/>
    <col min="6" max="6" width="17.6640625" customWidth="1"/>
    <col min="7" max="7" width="17.88671875" customWidth="1"/>
    <col min="8" max="8" width="19.109375" customWidth="1"/>
    <col min="12" max="12" width="31.33203125" bestFit="1" customWidth="1"/>
  </cols>
  <sheetData>
    <row r="1" spans="2:13" ht="15" thickBot="1" x14ac:dyDescent="0.35"/>
    <row r="2" spans="2:13" ht="15" thickBot="1" x14ac:dyDescent="0.35">
      <c r="B2" s="7" t="s">
        <v>0</v>
      </c>
      <c r="C2" s="8" t="s">
        <v>8</v>
      </c>
      <c r="D2" s="9" t="s">
        <v>13</v>
      </c>
      <c r="E2" s="10" t="s">
        <v>14</v>
      </c>
      <c r="F2" s="10" t="s">
        <v>15</v>
      </c>
      <c r="G2" s="10" t="s">
        <v>16</v>
      </c>
      <c r="H2" s="11" t="s">
        <v>17</v>
      </c>
      <c r="L2" t="s">
        <v>21</v>
      </c>
      <c r="M2" t="s">
        <v>25</v>
      </c>
    </row>
    <row r="3" spans="2:13" x14ac:dyDescent="0.3">
      <c r="B3" s="4" t="s">
        <v>1</v>
      </c>
      <c r="C3" s="5" t="s">
        <v>9</v>
      </c>
      <c r="D3" s="12">
        <v>420000000</v>
      </c>
      <c r="E3" s="12">
        <f>590450605+595702672</f>
        <v>1186153277</v>
      </c>
      <c r="F3" s="12">
        <f>619977909+623175657</f>
        <v>1243153566</v>
      </c>
      <c r="G3" s="12">
        <f>439263260+427249723</f>
        <v>866512983</v>
      </c>
      <c r="H3" s="13">
        <f>140770574+574486153</f>
        <v>715256727</v>
      </c>
      <c r="L3" t="s">
        <v>22</v>
      </c>
    </row>
    <row r="4" spans="2:13" x14ac:dyDescent="0.3">
      <c r="B4" s="6" t="s">
        <v>2</v>
      </c>
      <c r="C4" s="3" t="s">
        <v>9</v>
      </c>
      <c r="D4" s="14">
        <f>D11/20</f>
        <v>38929794.399999999</v>
      </c>
      <c r="E4" s="14">
        <f t="shared" ref="E4:H4" si="0">E11/20</f>
        <v>38929794.408983096</v>
      </c>
      <c r="F4" s="14">
        <f t="shared" si="0"/>
        <v>38929794.408983096</v>
      </c>
      <c r="G4" s="26">
        <f t="shared" si="0"/>
        <v>38929794.408983096</v>
      </c>
      <c r="H4" s="27">
        <f t="shared" si="0"/>
        <v>70494492.577562004</v>
      </c>
      <c r="L4" t="s">
        <v>23</v>
      </c>
    </row>
    <row r="5" spans="2:13" x14ac:dyDescent="0.3">
      <c r="B5" s="6" t="s">
        <v>6</v>
      </c>
      <c r="C5" s="3" t="s">
        <v>10</v>
      </c>
      <c r="D5" s="14">
        <f>D4/40000</f>
        <v>973.24486000000002</v>
      </c>
      <c r="E5" s="14">
        <f t="shared" ref="E5:H5" si="1">E4/40000</f>
        <v>973.24486022457745</v>
      </c>
      <c r="F5" s="14">
        <f t="shared" si="1"/>
        <v>973.24486022457745</v>
      </c>
      <c r="G5" s="26">
        <f t="shared" si="1"/>
        <v>973.24486022457745</v>
      </c>
      <c r="H5" s="27">
        <f t="shared" si="1"/>
        <v>1762.3623144390501</v>
      </c>
      <c r="L5" t="s">
        <v>24</v>
      </c>
    </row>
    <row r="6" spans="2:13" x14ac:dyDescent="0.3">
      <c r="B6" s="6" t="s">
        <v>7</v>
      </c>
      <c r="C6" s="3" t="s">
        <v>10</v>
      </c>
      <c r="D6" s="14">
        <f>D4/40000</f>
        <v>973.24486000000002</v>
      </c>
      <c r="E6" s="14">
        <f t="shared" ref="E6:H6" si="2">E4/40000</f>
        <v>973.24486022457745</v>
      </c>
      <c r="F6" s="14">
        <f t="shared" si="2"/>
        <v>973.24486022457745</v>
      </c>
      <c r="G6" s="26">
        <f t="shared" si="2"/>
        <v>973.24486022457745</v>
      </c>
      <c r="H6" s="27">
        <f t="shared" si="2"/>
        <v>1762.3623144390501</v>
      </c>
      <c r="M6" t="s">
        <v>26</v>
      </c>
    </row>
    <row r="7" spans="2:13" x14ac:dyDescent="0.3">
      <c r="B7" s="6" t="s">
        <v>3</v>
      </c>
      <c r="C7" s="3" t="s">
        <v>11</v>
      </c>
      <c r="D7" s="14"/>
      <c r="E7" s="14"/>
      <c r="F7" s="14"/>
      <c r="G7" s="14"/>
      <c r="H7" s="15"/>
      <c r="M7" t="s">
        <v>27</v>
      </c>
    </row>
    <row r="8" spans="2:13" x14ac:dyDescent="0.3">
      <c r="B8" s="18" t="s">
        <v>4</v>
      </c>
      <c r="C8" s="19" t="s">
        <v>12</v>
      </c>
      <c r="D8" s="20">
        <v>2000</v>
      </c>
      <c r="E8" s="20">
        <v>2000</v>
      </c>
      <c r="F8" s="20">
        <v>2000</v>
      </c>
      <c r="G8" s="20">
        <v>2000</v>
      </c>
      <c r="H8" s="21">
        <v>2000</v>
      </c>
      <c r="M8" t="s">
        <v>28</v>
      </c>
    </row>
    <row r="9" spans="2:13" ht="15" thickBot="1" x14ac:dyDescent="0.35">
      <c r="B9" s="22" t="s">
        <v>5</v>
      </c>
      <c r="C9" s="23" t="s">
        <v>12</v>
      </c>
      <c r="D9" s="24">
        <v>2000</v>
      </c>
      <c r="E9" s="24">
        <v>2000</v>
      </c>
      <c r="F9" s="24">
        <v>2000</v>
      </c>
      <c r="G9" s="24">
        <v>2000</v>
      </c>
      <c r="H9" s="25">
        <v>2000</v>
      </c>
    </row>
    <row r="10" spans="2:13" x14ac:dyDescent="0.3">
      <c r="B10" s="1" t="s">
        <v>18</v>
      </c>
      <c r="C10" s="2" t="s">
        <v>9</v>
      </c>
      <c r="D10" s="16">
        <v>1198651141</v>
      </c>
      <c r="E10" s="16">
        <v>1964749166</v>
      </c>
      <c r="F10" s="16">
        <v>2021749454</v>
      </c>
      <c r="G10" s="16">
        <v>1645108871</v>
      </c>
      <c r="H10" s="16">
        <v>2125146579</v>
      </c>
    </row>
    <row r="11" spans="2:13" x14ac:dyDescent="0.3">
      <c r="B11" s="1" t="s">
        <v>19</v>
      </c>
      <c r="C11" s="2" t="s">
        <v>9</v>
      </c>
      <c r="D11" s="16">
        <v>778595888</v>
      </c>
      <c r="E11" s="16">
        <v>778595888.17966199</v>
      </c>
      <c r="F11" s="16">
        <v>778595888.17966199</v>
      </c>
      <c r="G11" s="16">
        <v>778595888.17966199</v>
      </c>
      <c r="H11" s="16">
        <v>1409889851.55124</v>
      </c>
    </row>
    <row r="12" spans="2:13" x14ac:dyDescent="0.3">
      <c r="B12" s="17" t="s">
        <v>20</v>
      </c>
      <c r="D12" s="3">
        <f>D10/40000</f>
        <v>29966.278525000002</v>
      </c>
      <c r="E12" s="3">
        <f t="shared" ref="E12:H12" si="3">E10/40000</f>
        <v>49118.729149999999</v>
      </c>
      <c r="F12" s="3">
        <f t="shared" si="3"/>
        <v>50543.736349999999</v>
      </c>
      <c r="G12" s="3">
        <f t="shared" si="3"/>
        <v>41127.721774999998</v>
      </c>
      <c r="H12" s="3">
        <f t="shared" si="3"/>
        <v>53128.664474999998</v>
      </c>
    </row>
    <row r="13" spans="2:13" x14ac:dyDescent="0.3">
      <c r="B13" t="s">
        <v>29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2025-03-10T16:28:42Z</dcterms:created>
  <dcterms:modified xsi:type="dcterms:W3CDTF">2025-03-21T14:13:11Z</dcterms:modified>
</cp:coreProperties>
</file>