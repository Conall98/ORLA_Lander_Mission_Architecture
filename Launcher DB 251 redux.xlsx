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depaor2\Desktop\ORLA_Lander_Mission_Architecture\"/>
    </mc:Choice>
  </mc:AlternateContent>
  <xr:revisionPtr revIDLastSave="0" documentId="13_ncr:1_{1F836645-5FED-4B69-ADFA-182C496FF6A6}" xr6:coauthVersionLast="47" xr6:coauthVersionMax="47" xr10:uidLastSave="{00000000-0000-0000-0000-000000000000}"/>
  <bookViews>
    <workbookView xWindow="-120" yWindow="-120" windowWidth="29040" windowHeight="15720" xr2:uid="{69C8745A-9C92-45EB-911F-DC35D6424AA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G3" i="1" s="1"/>
  <c r="H3" i="1" s="1"/>
  <c r="F4" i="1"/>
  <c r="G4" i="1" s="1"/>
  <c r="H4" i="1" s="1"/>
  <c r="F5" i="1"/>
  <c r="G5" i="1" s="1"/>
  <c r="H5" i="1" s="1"/>
  <c r="F6" i="1"/>
  <c r="G6" i="1" s="1"/>
  <c r="H6" i="1" s="1"/>
  <c r="F7" i="1"/>
  <c r="G7" i="1" s="1"/>
  <c r="H7" i="1" s="1"/>
  <c r="F2" i="1"/>
  <c r="G2" i="1" s="1"/>
  <c r="H2" i="1" s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<sst xmlns="http://schemas.openxmlformats.org/spreadsheetml/2006/main" count="14" uniqueCount="14">
  <si>
    <t>Launcher</t>
  </si>
  <si>
    <t>Falcon Heavy</t>
  </si>
  <si>
    <t>Atlas V 551</t>
  </si>
  <si>
    <t>Ariane 6 A64</t>
  </si>
  <si>
    <t>Falcon 9 FT</t>
  </si>
  <si>
    <t>SLS B1</t>
  </si>
  <si>
    <t>Vega</t>
  </si>
  <si>
    <t>$/launch</t>
  </si>
  <si>
    <t>mp2LEO</t>
  </si>
  <si>
    <t>mp2TLI</t>
  </si>
  <si>
    <t>$/kg LEO</t>
  </si>
  <si>
    <t>Ek</t>
  </si>
  <si>
    <t>md_upper_stage</t>
  </si>
  <si>
    <t>$/kg TLI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</si>
</sst>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  <xf numFmtId="3" fontId="0" fillId="3" borderId="0" xfId="0" applyNumberFormat="1" applyFill="1" applyAlignment="1">
      <alignment horizontal="center"/>
    </xf>
    <xf numFmtId="3" fontId="0" fillId="4" borderId="0" xfId="0" applyNumberFormat="1" applyFill="1" applyAlignment="1">
      <alignment horizontal="center"/>
    </xf>
    <xf numFmtId="3" fontId="0" fillId="5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460DE-E610-40B3-9869-D6A1A40F73E6}">
  <dimension ref="A1:H7"/>
  <sheetViews>
    <sheetView tabSelected="1" workbookViewId="0">
      <selection activeCell="F16" sqref="F16"/>
    </sheetView>
  </sheetViews>
  <sheetFormatPr baseColWidth="10" defaultRowHeight="15" x14ac:dyDescent="0.25"/>
  <cols>
    <col min="1" max="1" width="12.5703125" bestFit="1" customWidth="1"/>
    <col min="2" max="2" width="12.7109375" bestFit="1" customWidth="1"/>
    <col min="3" max="3" width="8.140625" bestFit="1" customWidth="1"/>
    <col min="4" max="4" width="8.42578125" bestFit="1" customWidth="1"/>
    <col min="5" max="5" width="21.28515625" customWidth="1"/>
    <col min="6" max="8" width="15.42578125" customWidth="1"/>
  </cols>
  <sheetData>
    <row r="1" spans="1:8" x14ac:dyDescent="0.25">
      <c r="A1" s="1" t="s">
        <v>0</v>
      </c>
      <c r="B1" s="1" t="s">
        <v>7</v>
      </c>
      <c r="C1" s="1" t="s">
        <v>8</v>
      </c>
      <c r="D1" s="1" t="s">
        <v>10</v>
      </c>
      <c r="E1" s="1" t="s">
        <v>12</v>
      </c>
      <c r="F1" s="1" t="s">
        <v>11</v>
      </c>
      <c r="G1" s="1" t="s">
        <v>9</v>
      </c>
      <c r="H1" s="1" t="s">
        <v>13</v>
      </c>
    </row>
    <row r="2" spans="1:8" x14ac:dyDescent="0.25">
      <c r="A2" s="2" t="s">
        <v>1</v>
      </c>
      <c r="B2" s="7">
        <v>150000000</v>
      </c>
      <c r="C2" s="2">
        <v>63800</v>
      </c>
      <c r="D2" s="3">
        <f>B2/C2</f>
        <v>2351.0971786833857</v>
      </c>
      <c r="E2" s="3">
        <v>3900</v>
      </c>
      <c r="F2" s="2">
        <f>0.5*(C2+E2)*9500^2</f>
        <v>3054962500000</v>
      </c>
      <c r="G2" s="7">
        <f>2*F2/(13400^2)-E2</f>
        <v>30127.205390955671</v>
      </c>
      <c r="H2" s="7">
        <f>B2/G2</f>
        <v>4978.8886175626067</v>
      </c>
    </row>
    <row r="3" spans="1:8" x14ac:dyDescent="0.25">
      <c r="A3" s="4" t="s">
        <v>2</v>
      </c>
      <c r="B3" s="7">
        <v>73000000</v>
      </c>
      <c r="C3" s="4">
        <v>18831</v>
      </c>
      <c r="D3" s="5">
        <f>B3/C3</f>
        <v>3876.5864797408531</v>
      </c>
      <c r="E3" s="5">
        <v>2462</v>
      </c>
      <c r="F3" s="2">
        <f t="shared" ref="F3:F7" si="0">0.5*(C3+E3)*9500^2</f>
        <v>960846625000</v>
      </c>
      <c r="G3" s="7">
        <f>2*F3/(13400^2)-E3</f>
        <v>8240.2346290933401</v>
      </c>
      <c r="H3" s="7">
        <f t="shared" ref="H3:H7" si="1">B3/G3</f>
        <v>8858.9710470455466</v>
      </c>
    </row>
    <row r="4" spans="1:8" x14ac:dyDescent="0.25">
      <c r="A4" s="2" t="s">
        <v>3</v>
      </c>
      <c r="B4" s="7">
        <v>115000000</v>
      </c>
      <c r="C4" s="2">
        <v>21650</v>
      </c>
      <c r="D4" s="3">
        <f>B4/C4</f>
        <v>5311.778290993072</v>
      </c>
      <c r="E4" s="6">
        <v>3500</v>
      </c>
      <c r="F4" s="2">
        <f t="shared" si="0"/>
        <v>1134893750000</v>
      </c>
      <c r="G4" s="7">
        <f>2*F4/(13400^2)-E4</f>
        <v>9140.8303631098242</v>
      </c>
      <c r="H4" s="7">
        <f t="shared" si="1"/>
        <v>12580.913924856557</v>
      </c>
    </row>
    <row r="5" spans="1:8" x14ac:dyDescent="0.25">
      <c r="A5" s="4" t="s">
        <v>4</v>
      </c>
      <c r="B5" s="7">
        <v>67000000</v>
      </c>
      <c r="C5" s="4">
        <v>22800</v>
      </c>
      <c r="D5" s="5">
        <f>B5/C5</f>
        <v>2938.5964912280701</v>
      </c>
      <c r="E5" s="5">
        <v>3900</v>
      </c>
      <c r="F5" s="2">
        <f t="shared" si="0"/>
        <v>1204837500000</v>
      </c>
      <c r="G5" s="7">
        <f>2*F5/(13400^2)-E5</f>
        <v>9519.8875027845843</v>
      </c>
      <c r="H5" s="7">
        <f t="shared" si="1"/>
        <v>7037.898292432802</v>
      </c>
    </row>
    <row r="6" spans="1:8" x14ac:dyDescent="0.25">
      <c r="A6" s="2" t="s">
        <v>5</v>
      </c>
      <c r="B6" s="7">
        <v>2000000000</v>
      </c>
      <c r="C6" s="2">
        <v>95000</v>
      </c>
      <c r="D6" s="3">
        <f>B6/C6</f>
        <v>21052.63157894737</v>
      </c>
      <c r="E6" s="3">
        <v>3490</v>
      </c>
      <c r="F6" s="2">
        <f t="shared" si="0"/>
        <v>4444361250000</v>
      </c>
      <c r="G6" s="7">
        <f>2*F6/(13400^2)-E6</f>
        <v>46012.798507462685</v>
      </c>
      <c r="H6" s="7">
        <f t="shared" si="1"/>
        <v>43466.167346366157</v>
      </c>
    </row>
    <row r="7" spans="1:8" x14ac:dyDescent="0.25">
      <c r="A7" s="4" t="s">
        <v>6</v>
      </c>
      <c r="B7" s="7">
        <v>37000000</v>
      </c>
      <c r="C7" s="4">
        <v>3300</v>
      </c>
      <c r="D7" s="5">
        <f>B7/C7</f>
        <v>11212.121212121212</v>
      </c>
      <c r="E7" s="5">
        <v>698</v>
      </c>
      <c r="F7" s="2">
        <f t="shared" si="0"/>
        <v>180409750000</v>
      </c>
      <c r="G7" s="7">
        <f>2*F7/(13400^2)-E7</f>
        <v>1311.4648028514146</v>
      </c>
      <c r="H7" s="7">
        <f t="shared" si="1"/>
        <v>28212.728179630758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Conall DE PAOR</dc:creator>
  <cp:lastModifiedBy>Conall DE PAOR</cp:lastModifiedBy>
  <dcterms:created xsi:type="dcterms:W3CDTF">2025-02-18T10:23:08Z</dcterms:created>
  <dcterms:modified xsi:type="dcterms:W3CDTF">2025-02-19T09:13:51Z</dcterms:modified>
</cp:coreProperties>
</file>