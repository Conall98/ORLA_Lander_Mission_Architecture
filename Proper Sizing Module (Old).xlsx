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depaor2\Desktop\ORLA_Lander_Mission_Architecture\"/>
    </mc:Choice>
  </mc:AlternateContent>
  <xr:revisionPtr revIDLastSave="0" documentId="8_{8D3DF74F-3965-44CC-A728-14A544BC1A97}" xr6:coauthVersionLast="47" xr6:coauthVersionMax="47" xr10:uidLastSave="{00000000-0000-0000-0000-000000000000}"/>
  <bookViews>
    <workbookView xWindow="-25335" yWindow="3465" windowWidth="21600" windowHeight="11235" xr2:uid="{271AE705-F71B-452B-B021-BE69E31B32ED}"/>
  </bookViews>
  <sheets>
    <sheet name="MA1" sheetId="2" r:id="rId1"/>
    <sheet name="MA2" sheetId="1" r:id="rId2"/>
    <sheet name="MA3" sheetId="3" r:id="rId3"/>
    <sheet name="MA4" sheetId="4" r:id="rId4"/>
    <sheet name="MA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0" i="1" l="1"/>
  <c r="I12" i="1"/>
  <c r="I8" i="1"/>
  <c r="G15" i="5" l="1"/>
  <c r="H38" i="5"/>
  <c r="E36" i="5"/>
  <c r="C36" i="5"/>
  <c r="C18" i="5"/>
  <c r="G16" i="5"/>
  <c r="K15" i="5"/>
  <c r="O6" i="4"/>
  <c r="F15" i="4"/>
  <c r="I6" i="4"/>
  <c r="H38" i="4"/>
  <c r="E36" i="4"/>
  <c r="C36" i="4"/>
  <c r="O28" i="4"/>
  <c r="O27" i="4"/>
  <c r="L27" i="4"/>
  <c r="O26" i="4"/>
  <c r="I26" i="4"/>
  <c r="O25" i="4"/>
  <c r="L25" i="4"/>
  <c r="C18" i="4"/>
  <c r="L29" i="4" s="1"/>
  <c r="L31" i="4" s="1"/>
  <c r="L17" i="4"/>
  <c r="O16" i="4"/>
  <c r="I16" i="4"/>
  <c r="F16" i="4"/>
  <c r="L15" i="4"/>
  <c r="I15" i="4"/>
  <c r="I20" i="4" s="1"/>
  <c r="L10" i="4"/>
  <c r="L8" i="4"/>
  <c r="L6" i="4"/>
  <c r="L16" i="3"/>
  <c r="L21" i="3" s="1"/>
  <c r="L22" i="3" s="1"/>
  <c r="L27" i="3"/>
  <c r="L26" i="3"/>
  <c r="L31" i="3" s="1"/>
  <c r="L32" i="3" s="1"/>
  <c r="L17" i="3"/>
  <c r="L8" i="3"/>
  <c r="L7" i="3"/>
  <c r="L12" i="3" s="1"/>
  <c r="L13" i="3" s="1"/>
  <c r="H39" i="3"/>
  <c r="E37" i="3"/>
  <c r="C37" i="3"/>
  <c r="R28" i="3"/>
  <c r="O28" i="3"/>
  <c r="R27" i="3"/>
  <c r="I27" i="3"/>
  <c r="R26" i="3"/>
  <c r="O26" i="3"/>
  <c r="C19" i="3"/>
  <c r="F16" i="3" s="1"/>
  <c r="F21" i="3" s="1"/>
  <c r="O18" i="3"/>
  <c r="R17" i="3"/>
  <c r="I17" i="3"/>
  <c r="F17" i="3"/>
  <c r="O16" i="3"/>
  <c r="I16" i="3"/>
  <c r="I21" i="3" s="1"/>
  <c r="O9" i="3"/>
  <c r="I8" i="3"/>
  <c r="R7" i="3"/>
  <c r="O7" i="3"/>
  <c r="C56" i="2"/>
  <c r="I20" i="2"/>
  <c r="I23" i="2" s="1"/>
  <c r="O17" i="2"/>
  <c r="E37" i="5" l="1"/>
  <c r="C37" i="5"/>
  <c r="C21" i="5"/>
  <c r="I21" i="4"/>
  <c r="O17" i="4"/>
  <c r="L18" i="4"/>
  <c r="C37" i="4"/>
  <c r="E37" i="4"/>
  <c r="F20" i="4"/>
  <c r="L19" i="4"/>
  <c r="O15" i="4"/>
  <c r="C21" i="4"/>
  <c r="R29" i="3"/>
  <c r="R18" i="3"/>
  <c r="I22" i="3"/>
  <c r="O19" i="3"/>
  <c r="F22" i="3"/>
  <c r="O8" i="3"/>
  <c r="C38" i="3"/>
  <c r="O20" i="3"/>
  <c r="R16" i="3"/>
  <c r="O30" i="3"/>
  <c r="O32" i="3" s="1"/>
  <c r="E38" i="3"/>
  <c r="C22" i="3"/>
  <c r="O11" i="3"/>
  <c r="O19" i="2"/>
  <c r="O20" i="2" s="1"/>
  <c r="L18" i="2"/>
  <c r="I24" i="2"/>
  <c r="L17" i="2"/>
  <c r="C44" i="5" l="1"/>
  <c r="G20" i="5"/>
  <c r="C22" i="5"/>
  <c r="K16" i="5"/>
  <c r="E39" i="5"/>
  <c r="E38" i="5"/>
  <c r="O18" i="4"/>
  <c r="L16" i="4"/>
  <c r="L21" i="4" s="1"/>
  <c r="F21" i="4"/>
  <c r="L7" i="4"/>
  <c r="E39" i="4"/>
  <c r="E38" i="4"/>
  <c r="C22" i="4"/>
  <c r="I25" i="4"/>
  <c r="I30" i="4" s="1"/>
  <c r="I31" i="4" s="1"/>
  <c r="L11" i="4"/>
  <c r="I11" i="4"/>
  <c r="O7" i="4"/>
  <c r="C44" i="4"/>
  <c r="O22" i="3"/>
  <c r="C44" i="3"/>
  <c r="C43" i="3"/>
  <c r="C42" i="3"/>
  <c r="C41" i="3"/>
  <c r="C40" i="3"/>
  <c r="C39" i="3"/>
  <c r="R19" i="3"/>
  <c r="I26" i="3"/>
  <c r="I31" i="3" s="1"/>
  <c r="I32" i="3" s="1"/>
  <c r="O12" i="3"/>
  <c r="I7" i="3"/>
  <c r="I12" i="3" s="1"/>
  <c r="C23" i="3"/>
  <c r="R8" i="3"/>
  <c r="C45" i="3"/>
  <c r="E40" i="3"/>
  <c r="E39" i="3"/>
  <c r="L23" i="2"/>
  <c r="K17" i="5" l="1"/>
  <c r="K18" i="5" s="1"/>
  <c r="G21" i="5"/>
  <c r="L9" i="4"/>
  <c r="O8" i="4"/>
  <c r="O9" i="4" s="1"/>
  <c r="I12" i="4"/>
  <c r="L12" i="4"/>
  <c r="R9" i="3"/>
  <c r="R10" i="3" s="1"/>
  <c r="O10" i="3"/>
  <c r="O13" i="3" s="1"/>
  <c r="I13" i="3"/>
  <c r="O7" i="2" l="1"/>
  <c r="O27" i="2"/>
  <c r="O37" i="2"/>
  <c r="I40" i="2"/>
  <c r="I43" i="2" s="1"/>
  <c r="I30" i="2"/>
  <c r="I33" i="2" s="1"/>
  <c r="I34" i="2" s="1"/>
  <c r="I10" i="2"/>
  <c r="I13" i="2" s="1"/>
  <c r="I14" i="2" s="1"/>
  <c r="H50" i="2"/>
  <c r="E48" i="2"/>
  <c r="C48" i="2"/>
  <c r="C30" i="2"/>
  <c r="L7" i="2" l="1"/>
  <c r="L27" i="2"/>
  <c r="O9" i="2"/>
  <c r="L37" i="2"/>
  <c r="L43" i="2" s="1"/>
  <c r="L38" i="2"/>
  <c r="I44" i="2"/>
  <c r="O29" i="2"/>
  <c r="L28" i="2"/>
  <c r="L8" i="2"/>
  <c r="O40" i="2"/>
  <c r="C49" i="2"/>
  <c r="E49" i="2"/>
  <c r="C33" i="2"/>
  <c r="E37" i="1"/>
  <c r="C37" i="1"/>
  <c r="H39" i="1"/>
  <c r="O30" i="2" l="1"/>
  <c r="C34" i="2"/>
  <c r="E50" i="2"/>
  <c r="E51" i="2"/>
  <c r="L33" i="2"/>
  <c r="C55" i="2"/>
  <c r="C54" i="2"/>
  <c r="C52" i="2"/>
  <c r="C51" i="2"/>
  <c r="C50" i="2"/>
  <c r="C53" i="2"/>
  <c r="L28" i="1"/>
  <c r="L18" i="1"/>
  <c r="L9" i="1"/>
  <c r="L26" i="1"/>
  <c r="L16" i="1"/>
  <c r="L7" i="1"/>
  <c r="O28" i="1"/>
  <c r="O26" i="1"/>
  <c r="O27" i="1"/>
  <c r="O29" i="1" s="1"/>
  <c r="O17" i="1"/>
  <c r="O7" i="1"/>
  <c r="I27" i="1"/>
  <c r="O16" i="1"/>
  <c r="I16" i="1"/>
  <c r="I21" i="1" s="1"/>
  <c r="I22" i="1" s="1"/>
  <c r="I17" i="1"/>
  <c r="F17" i="1"/>
  <c r="L13" i="2" l="1"/>
  <c r="O10" i="2"/>
  <c r="L19" i="1"/>
  <c r="O18" i="1"/>
  <c r="O19" i="1" s="1"/>
  <c r="C19" i="1"/>
  <c r="C22" i="1" s="1"/>
  <c r="C45" i="1" l="1"/>
  <c r="C23" i="1"/>
  <c r="F16" i="1"/>
  <c r="F21" i="1" s="1"/>
  <c r="E38" i="1"/>
  <c r="C38" i="1"/>
  <c r="L11" i="1"/>
  <c r="L30" i="1"/>
  <c r="L32" i="1" s="1"/>
  <c r="L20" i="1"/>
  <c r="O8" i="1"/>
  <c r="I7" i="1"/>
  <c r="I26" i="1"/>
  <c r="I31" i="1" s="1"/>
  <c r="I32" i="1" s="1"/>
  <c r="L12" i="1"/>
  <c r="C41" i="1" l="1"/>
  <c r="C43" i="1"/>
  <c r="C39" i="1"/>
  <c r="C40" i="1"/>
  <c r="C42" i="1"/>
  <c r="C44" i="1"/>
  <c r="E40" i="1"/>
  <c r="E39" i="1"/>
  <c r="F22" i="1"/>
  <c r="L8" i="1"/>
  <c r="L17" i="1"/>
  <c r="L22" i="1" s="1"/>
  <c r="I13" i="1"/>
  <c r="L10" i="1"/>
  <c r="O9" i="1"/>
  <c r="O10" i="1" s="1"/>
  <c r="L13" i="1" l="1"/>
  <c r="C41" i="5"/>
  <c r="C40" i="5"/>
  <c r="C39" i="5"/>
  <c r="C42" i="5"/>
  <c r="C38" i="5"/>
  <c r="C43" i="5"/>
  <c r="C42" i="4"/>
  <c r="C41" i="4"/>
  <c r="C40" i="4"/>
  <c r="C39" i="4"/>
  <c r="C38" i="4"/>
  <c r="C43" i="4"/>
</calcChain>
</file>

<file path=xl/sharedStrings.xml><?xml version="1.0" encoding="utf-8"?>
<sst xmlns="http://schemas.openxmlformats.org/spreadsheetml/2006/main" count="582" uniqueCount="98">
  <si>
    <t>mp</t>
  </si>
  <si>
    <t>mdry</t>
  </si>
  <si>
    <t>mprop</t>
  </si>
  <si>
    <t>mt</t>
  </si>
  <si>
    <t>Isp</t>
  </si>
  <si>
    <t>dV</t>
  </si>
  <si>
    <t>constant</t>
  </si>
  <si>
    <t>mp_TV</t>
  </si>
  <si>
    <t>Ek</t>
  </si>
  <si>
    <t>dV req</t>
  </si>
  <si>
    <t>md_ref_TV</t>
  </si>
  <si>
    <t>kg</t>
  </si>
  <si>
    <t>TV_Isp</t>
  </si>
  <si>
    <t>mprop_TV</t>
  </si>
  <si>
    <t>mt_TVc</t>
  </si>
  <si>
    <t>mt_TVp</t>
  </si>
  <si>
    <t>Construction Transfer (F2)</t>
  </si>
  <si>
    <t>Payload Transfer Vehicle (F2)</t>
  </si>
  <si>
    <t xml:space="preserve">no </t>
  </si>
  <si>
    <t>free</t>
  </si>
  <si>
    <t>gas</t>
  </si>
  <si>
    <t>at LOPG</t>
  </si>
  <si>
    <t xml:space="preserve">free </t>
  </si>
  <si>
    <t>at LEO</t>
  </si>
  <si>
    <t>mp_L</t>
  </si>
  <si>
    <t>cycle _m_LEO</t>
  </si>
  <si>
    <t>m_prop_L</t>
  </si>
  <si>
    <t>m_prop_TV</t>
  </si>
  <si>
    <t>Cycle Lift Reqs</t>
  </si>
  <si>
    <t>Construction Lift reqs</t>
  </si>
  <si>
    <t>Con_m_LEO</t>
  </si>
  <si>
    <t>md_TV</t>
  </si>
  <si>
    <t>m_prop_TVc</t>
  </si>
  <si>
    <t>md_TVc</t>
  </si>
  <si>
    <t>m_d_L</t>
  </si>
  <si>
    <t>m_d_TVp</t>
  </si>
  <si>
    <t>m_prop_TVp</t>
  </si>
  <si>
    <t>Subsystem Masses of Landers</t>
  </si>
  <si>
    <t>Beyond Apollo</t>
  </si>
  <si>
    <t>Isaji</t>
  </si>
  <si>
    <t>dry mass</t>
  </si>
  <si>
    <t>Structure</t>
  </si>
  <si>
    <t>Propulsion</t>
  </si>
  <si>
    <t>Power</t>
  </si>
  <si>
    <t>Avionics</t>
  </si>
  <si>
    <t>Thermal</t>
  </si>
  <si>
    <t>Other</t>
  </si>
  <si>
    <t>ln coeff</t>
  </si>
  <si>
    <t>coeffs</t>
  </si>
  <si>
    <t>Structure + TPS</t>
  </si>
  <si>
    <t>payload</t>
  </si>
  <si>
    <t>Propellant</t>
  </si>
  <si>
    <t>MA2 Lander</t>
  </si>
  <si>
    <t>MA1 TLV</t>
  </si>
  <si>
    <t>md_TLV</t>
  </si>
  <si>
    <t>m_prop_TLV</t>
  </si>
  <si>
    <t>mp_TLV</t>
  </si>
  <si>
    <t>and LOPG</t>
  </si>
  <si>
    <t>on</t>
  </si>
  <si>
    <t>the moon</t>
  </si>
  <si>
    <t>MA3 Lander</t>
  </si>
  <si>
    <t>Payload Transfer Vehicle 1</t>
  </si>
  <si>
    <t>Payload Transfer Vehicle 2</t>
  </si>
  <si>
    <t>mp_TV2</t>
  </si>
  <si>
    <t>md_TV1</t>
  </si>
  <si>
    <t>md_TV2</t>
  </si>
  <si>
    <t>Electric Transfer Vehicle (F2)</t>
  </si>
  <si>
    <t>α</t>
  </si>
  <si>
    <t>β</t>
  </si>
  <si>
    <t>ΔV</t>
  </si>
  <si>
    <t>Tsiolkovsky</t>
  </si>
  <si>
    <t>Statistical analysis</t>
  </si>
  <si>
    <t>property</t>
  </si>
  <si>
    <t>value</t>
  </si>
  <si>
    <t>note</t>
  </si>
  <si>
    <t>ΔV [m/s]</t>
  </si>
  <si>
    <t>Kinetic E [J]</t>
  </si>
  <si>
    <t>Ariane 5 ESC (ref.)</t>
  </si>
  <si>
    <t>Transfer Vehicle</t>
  </si>
  <si>
    <t>Launcher</t>
  </si>
  <si>
    <t>Free gas at LOP-G</t>
  </si>
  <si>
    <r>
      <t>m</t>
    </r>
    <r>
      <rPr>
        <vertAlign val="subscript"/>
        <sz val="12"/>
        <color theme="1"/>
        <rFont val="Calibri"/>
        <family val="2"/>
        <scheme val="minor"/>
      </rPr>
      <t>p</t>
    </r>
    <r>
      <rPr>
        <sz val="12"/>
        <color theme="1"/>
        <rFont val="Calibri"/>
        <family val="2"/>
        <scheme val="minor"/>
      </rPr>
      <t xml:space="preserve"> [kg]</t>
    </r>
  </si>
  <si>
    <r>
      <t>I</t>
    </r>
    <r>
      <rPr>
        <vertAlign val="subscript"/>
        <sz val="12"/>
        <color theme="1"/>
        <rFont val="Calibri"/>
        <family val="2"/>
        <scheme val="minor"/>
      </rPr>
      <t>sp</t>
    </r>
    <r>
      <rPr>
        <sz val="12"/>
        <color theme="1"/>
        <rFont val="Calibri"/>
        <family val="2"/>
        <scheme val="minor"/>
      </rPr>
      <t xml:space="preserve"> [s]</t>
    </r>
  </si>
  <si>
    <r>
      <t>m</t>
    </r>
    <r>
      <rPr>
        <vertAlign val="subscript"/>
        <sz val="12"/>
        <color theme="1"/>
        <rFont val="Calibri"/>
        <family val="2"/>
        <scheme val="minor"/>
      </rPr>
      <t>dry</t>
    </r>
    <r>
      <rPr>
        <sz val="12"/>
        <color theme="1"/>
        <rFont val="Calibri"/>
        <family val="2"/>
        <scheme val="minor"/>
      </rPr>
      <t xml:space="preserve"> [kg]</t>
    </r>
  </si>
  <si>
    <r>
      <t xml:space="preserve">= α </t>
    </r>
    <r>
      <rPr>
        <i/>
        <sz val="12"/>
        <color theme="1"/>
        <rFont val="Calibri"/>
        <family val="2"/>
      </rPr>
      <t>×</t>
    </r>
    <r>
      <rPr>
        <i/>
        <sz val="12"/>
        <color theme="1"/>
        <rFont val="Calibri"/>
        <family val="2"/>
        <scheme val="minor"/>
      </rPr>
      <t xml:space="preserve"> ln(m</t>
    </r>
    <r>
      <rPr>
        <i/>
        <vertAlign val="subscript"/>
        <sz val="12"/>
        <color theme="1"/>
        <rFont val="Calibri"/>
        <family val="2"/>
        <scheme val="minor"/>
      </rPr>
      <t>p</t>
    </r>
    <r>
      <rPr>
        <i/>
        <sz val="12"/>
        <color theme="1"/>
        <rFont val="Calibri"/>
        <family val="2"/>
        <scheme val="minor"/>
      </rPr>
      <t>) + β</t>
    </r>
  </si>
  <si>
    <r>
      <t>m</t>
    </r>
    <r>
      <rPr>
        <vertAlign val="subscript"/>
        <sz val="12"/>
        <color theme="1"/>
        <rFont val="Calibri"/>
        <family val="2"/>
        <scheme val="minor"/>
      </rPr>
      <t>prop</t>
    </r>
    <r>
      <rPr>
        <sz val="12"/>
        <color theme="1"/>
        <rFont val="Calibri"/>
        <family val="2"/>
        <scheme val="minor"/>
      </rPr>
      <t xml:space="preserve"> [kg]</t>
    </r>
  </si>
  <si>
    <r>
      <t>m</t>
    </r>
    <r>
      <rPr>
        <vertAlign val="subscript"/>
        <sz val="12"/>
        <color theme="1"/>
        <rFont val="Calibri"/>
        <family val="2"/>
        <scheme val="minor"/>
      </rPr>
      <t>t</t>
    </r>
    <r>
      <rPr>
        <sz val="12"/>
        <color theme="1"/>
        <rFont val="Calibri"/>
        <family val="2"/>
        <scheme val="minor"/>
      </rPr>
      <t xml:space="preserve"> [kg]</t>
    </r>
  </si>
  <si>
    <r>
      <t>= m</t>
    </r>
    <r>
      <rPr>
        <i/>
        <vertAlign val="subscript"/>
        <sz val="12"/>
        <color theme="1"/>
        <rFont val="Calibri"/>
        <family val="2"/>
        <scheme val="minor"/>
      </rPr>
      <t>p</t>
    </r>
    <r>
      <rPr>
        <i/>
        <sz val="12"/>
        <color theme="1"/>
        <rFont val="Calibri"/>
        <family val="2"/>
        <scheme val="minor"/>
      </rPr>
      <t xml:space="preserve"> + m</t>
    </r>
    <r>
      <rPr>
        <i/>
        <vertAlign val="subscript"/>
        <sz val="12"/>
        <color theme="1"/>
        <rFont val="Calibri"/>
        <family val="2"/>
        <scheme val="minor"/>
      </rPr>
      <t>dry</t>
    </r>
    <r>
      <rPr>
        <i/>
        <sz val="12"/>
        <color theme="1"/>
        <rFont val="Calibri"/>
        <family val="2"/>
        <scheme val="minor"/>
      </rPr>
      <t xml:space="preserve"> + m</t>
    </r>
    <r>
      <rPr>
        <i/>
        <vertAlign val="subscript"/>
        <sz val="12"/>
        <color theme="1"/>
        <rFont val="Calibri"/>
        <family val="2"/>
        <scheme val="minor"/>
      </rPr>
      <t>prop</t>
    </r>
  </si>
  <si>
    <r>
      <t>m</t>
    </r>
    <r>
      <rPr>
        <vertAlign val="subscript"/>
        <sz val="12"/>
        <color theme="1"/>
        <rFont val="Calibri"/>
        <family val="2"/>
        <scheme val="minor"/>
      </rPr>
      <t>p, TV</t>
    </r>
    <r>
      <rPr>
        <sz val="12"/>
        <color theme="1"/>
        <rFont val="Calibri"/>
        <family val="2"/>
        <scheme val="minor"/>
      </rPr>
      <t xml:space="preserve"> [kg]</t>
    </r>
  </si>
  <si>
    <r>
      <t xml:space="preserve">= ΔV </t>
    </r>
    <r>
      <rPr>
        <i/>
        <sz val="12"/>
        <color theme="1"/>
        <rFont val="Calibri"/>
        <family val="2"/>
      </rPr>
      <t>×</t>
    </r>
    <r>
      <rPr>
        <i/>
        <sz val="12"/>
        <color theme="1"/>
        <rFont val="Calibri"/>
        <family val="2"/>
        <scheme val="minor"/>
      </rPr>
      <t xml:space="preserve"> m</t>
    </r>
    <r>
      <rPr>
        <i/>
        <vertAlign val="subscript"/>
        <sz val="12"/>
        <color theme="1"/>
        <rFont val="Calibri"/>
        <family val="2"/>
        <scheme val="minor"/>
      </rPr>
      <t>final</t>
    </r>
  </si>
  <si>
    <r>
      <t>I</t>
    </r>
    <r>
      <rPr>
        <vertAlign val="subscript"/>
        <sz val="12"/>
        <color theme="1"/>
        <rFont val="Calibri"/>
        <family val="2"/>
        <scheme val="minor"/>
      </rPr>
      <t>sp, TV</t>
    </r>
  </si>
  <si>
    <r>
      <t>m</t>
    </r>
    <r>
      <rPr>
        <vertAlign val="subscript"/>
        <sz val="12"/>
        <color theme="1"/>
        <rFont val="Calibri"/>
        <family val="2"/>
        <scheme val="minor"/>
      </rPr>
      <t>d, TV</t>
    </r>
  </si>
  <si>
    <r>
      <t>m</t>
    </r>
    <r>
      <rPr>
        <vertAlign val="subscript"/>
        <sz val="12"/>
        <color theme="1"/>
        <rFont val="Calibri"/>
        <family val="2"/>
        <scheme val="minor"/>
      </rPr>
      <t>prop, TV</t>
    </r>
  </si>
  <si>
    <r>
      <t>m</t>
    </r>
    <r>
      <rPr>
        <vertAlign val="subscript"/>
        <sz val="12"/>
        <color theme="1"/>
        <rFont val="Calibri"/>
        <family val="2"/>
        <scheme val="minor"/>
      </rPr>
      <t>t, TV</t>
    </r>
  </si>
  <si>
    <r>
      <t>m</t>
    </r>
    <r>
      <rPr>
        <vertAlign val="subscript"/>
        <sz val="12"/>
        <color theme="1"/>
        <rFont val="Calibri"/>
        <family val="2"/>
        <scheme val="minor"/>
      </rPr>
      <t>p, Lander</t>
    </r>
    <r>
      <rPr>
        <sz val="12"/>
        <color theme="1"/>
        <rFont val="Calibri"/>
        <family val="2"/>
        <scheme val="minor"/>
      </rPr>
      <t xml:space="preserve"> [kg]</t>
    </r>
  </si>
  <si>
    <r>
      <t>m</t>
    </r>
    <r>
      <rPr>
        <vertAlign val="subscript"/>
        <sz val="12"/>
        <color theme="1"/>
        <rFont val="Calibri"/>
        <family val="2"/>
        <scheme val="minor"/>
      </rPr>
      <t>prop, TV</t>
    </r>
    <r>
      <rPr>
        <sz val="12"/>
        <color theme="1"/>
        <rFont val="Calibri"/>
        <family val="2"/>
        <scheme val="minor"/>
      </rPr>
      <t xml:space="preserve"> [kg]</t>
    </r>
  </si>
  <si>
    <r>
      <t>m</t>
    </r>
    <r>
      <rPr>
        <vertAlign val="subscript"/>
        <sz val="12"/>
        <color theme="1"/>
        <rFont val="Calibri"/>
        <family val="2"/>
        <scheme val="minor"/>
      </rPr>
      <t>p, LEO</t>
    </r>
    <r>
      <rPr>
        <sz val="12"/>
        <color theme="1"/>
        <rFont val="Calibri"/>
        <family val="2"/>
        <scheme val="minor"/>
      </rPr>
      <t xml:space="preserve"> [kg]</t>
    </r>
  </si>
  <si>
    <t>Lander (L)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</si>
</sst>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bscript"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i/>
      <sz val="12"/>
      <color theme="1"/>
      <name val="Calibri"/>
      <family val="2"/>
    </font>
    <font>
      <i/>
      <vertAlign val="subscript"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0" fillId="0" borderId="5" xfId="0" applyBorder="1"/>
    <xf numFmtId="0" fontId="0" fillId="3" borderId="4" xfId="0" applyFill="1" applyBorder="1"/>
    <xf numFmtId="0" fontId="0" fillId="3" borderId="6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2" fontId="0" fillId="2" borderId="1" xfId="0" applyNumberFormat="1" applyFill="1" applyBorder="1" applyAlignment="1">
      <alignment horizontal="left"/>
    </xf>
    <xf numFmtId="2" fontId="0" fillId="3" borderId="11" xfId="0" applyNumberFormat="1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2" fontId="0" fillId="3" borderId="12" xfId="0" applyNumberFormat="1" applyFill="1" applyBorder="1" applyAlignment="1">
      <alignment horizontal="center"/>
    </xf>
    <xf numFmtId="2" fontId="0" fillId="2" borderId="10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/>
    <xf numFmtId="11" fontId="0" fillId="3" borderId="12" xfId="0" applyNumberFormat="1" applyFill="1" applyBorder="1"/>
    <xf numFmtId="2" fontId="0" fillId="3" borderId="12" xfId="0" applyNumberFormat="1" applyFill="1" applyBorder="1"/>
    <xf numFmtId="2" fontId="0" fillId="0" borderId="13" xfId="0" applyNumberFormat="1" applyBorder="1"/>
    <xf numFmtId="2" fontId="0" fillId="2" borderId="10" xfId="0" applyNumberFormat="1" applyFill="1" applyBorder="1"/>
    <xf numFmtId="0" fontId="0" fillId="0" borderId="15" xfId="0" applyBorder="1"/>
    <xf numFmtId="0" fontId="0" fillId="0" borderId="1" xfId="0" applyBorder="1"/>
    <xf numFmtId="0" fontId="0" fillId="2" borderId="4" xfId="0" applyFill="1" applyBorder="1"/>
    <xf numFmtId="2" fontId="0" fillId="2" borderId="12" xfId="0" applyNumberFormat="1" applyFill="1" applyBorder="1"/>
    <xf numFmtId="0" fontId="0" fillId="2" borderId="3" xfId="0" applyFill="1" applyBorder="1"/>
    <xf numFmtId="2" fontId="0" fillId="2" borderId="14" xfId="0" applyNumberFormat="1" applyFill="1" applyBorder="1"/>
    <xf numFmtId="0" fontId="0" fillId="2" borderId="15" xfId="0" applyFill="1" applyBorder="1"/>
    <xf numFmtId="2" fontId="0" fillId="2" borderId="7" xfId="0" applyNumberFormat="1" applyFill="1" applyBorder="1"/>
    <xf numFmtId="2" fontId="0" fillId="0" borderId="0" xfId="0" applyNumberFormat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2" fontId="0" fillId="0" borderId="2" xfId="0" applyNumberFormat="1" applyBorder="1"/>
    <xf numFmtId="2" fontId="0" fillId="0" borderId="14" xfId="0" applyNumberFormat="1" applyBorder="1"/>
    <xf numFmtId="0" fontId="0" fillId="0" borderId="19" xfId="0" applyBorder="1"/>
    <xf numFmtId="2" fontId="0" fillId="0" borderId="12" xfId="0" applyNumberFormat="1" applyBorder="1"/>
    <xf numFmtId="0" fontId="0" fillId="0" borderId="20" xfId="0" applyBorder="1"/>
    <xf numFmtId="0" fontId="0" fillId="0" borderId="6" xfId="0" applyBorder="1" applyAlignment="1">
      <alignment horizontal="center"/>
    </xf>
    <xf numFmtId="2" fontId="0" fillId="0" borderId="16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8" xfId="0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3" xfId="0" applyFill="1" applyBorder="1" applyAlignment="1">
      <alignment horizontal="left"/>
    </xf>
    <xf numFmtId="2" fontId="0" fillId="2" borderId="14" xfId="0" applyNumberFormat="1" applyFill="1" applyBorder="1" applyAlignment="1">
      <alignment horizontal="center"/>
    </xf>
    <xf numFmtId="0" fontId="0" fillId="2" borderId="5" xfId="0" applyFill="1" applyBorder="1" applyAlignment="1">
      <alignment horizontal="left"/>
    </xf>
    <xf numFmtId="2" fontId="0" fillId="2" borderId="13" xfId="0" applyNumberFormat="1" applyFill="1" applyBorder="1" applyAlignment="1">
      <alignment horizontal="center"/>
    </xf>
    <xf numFmtId="2" fontId="0" fillId="0" borderId="0" xfId="0" applyNumberFormat="1"/>
    <xf numFmtId="11" fontId="0" fillId="0" borderId="0" xfId="0" applyNumberFormat="1"/>
    <xf numFmtId="4" fontId="0" fillId="3" borderId="6" xfId="0" applyNumberFormat="1" applyFill="1" applyBorder="1" applyAlignment="1">
      <alignment horizontal="left"/>
    </xf>
    <xf numFmtId="4" fontId="0" fillId="3" borderId="11" xfId="0" applyNumberFormat="1" applyFill="1" applyBorder="1" applyAlignment="1">
      <alignment horizontal="center"/>
    </xf>
    <xf numFmtId="4" fontId="0" fillId="3" borderId="4" xfId="0" applyNumberFormat="1" applyFill="1" applyBorder="1" applyAlignment="1">
      <alignment horizontal="left"/>
    </xf>
    <xf numFmtId="4" fontId="0" fillId="3" borderId="12" xfId="0" applyNumberFormat="1" applyFill="1" applyBorder="1" applyAlignment="1">
      <alignment horizontal="center"/>
    </xf>
    <xf numFmtId="4" fontId="0" fillId="3" borderId="5" xfId="0" applyNumberFormat="1" applyFill="1" applyBorder="1" applyAlignment="1">
      <alignment horizontal="left"/>
    </xf>
    <xf numFmtId="4" fontId="0" fillId="3" borderId="13" xfId="0" applyNumberFormat="1" applyFill="1" applyBorder="1" applyAlignment="1">
      <alignment horizontal="center"/>
    </xf>
    <xf numFmtId="4" fontId="0" fillId="2" borderId="3" xfId="0" applyNumberFormat="1" applyFill="1" applyBorder="1" applyAlignment="1">
      <alignment horizontal="left"/>
    </xf>
    <xf numFmtId="4" fontId="0" fillId="2" borderId="14" xfId="0" applyNumberFormat="1" applyFill="1" applyBorder="1" applyAlignment="1">
      <alignment horizontal="center"/>
    </xf>
    <xf numFmtId="4" fontId="0" fillId="2" borderId="5" xfId="0" applyNumberFormat="1" applyFill="1" applyBorder="1" applyAlignment="1">
      <alignment horizontal="left"/>
    </xf>
    <xf numFmtId="4" fontId="0" fillId="2" borderId="13" xfId="0" applyNumberFormat="1" applyFill="1" applyBorder="1" applyAlignment="1">
      <alignment horizontal="center"/>
    </xf>
    <xf numFmtId="4" fontId="0" fillId="2" borderId="1" xfId="0" applyNumberFormat="1" applyFill="1" applyBorder="1" applyAlignment="1">
      <alignment horizontal="left"/>
    </xf>
    <xf numFmtId="4" fontId="0" fillId="2" borderId="10" xfId="0" applyNumberFormat="1" applyFill="1" applyBorder="1" applyAlignment="1">
      <alignment horizontal="center"/>
    </xf>
    <xf numFmtId="4" fontId="0" fillId="0" borderId="22" xfId="0" applyNumberFormat="1" applyBorder="1" applyAlignment="1">
      <alignment horizontal="left"/>
    </xf>
    <xf numFmtId="4" fontId="0" fillId="0" borderId="22" xfId="0" applyNumberFormat="1" applyBorder="1" applyAlignment="1">
      <alignment horizontal="center"/>
    </xf>
    <xf numFmtId="4" fontId="0" fillId="0" borderId="0" xfId="0" applyNumberFormat="1"/>
    <xf numFmtId="4" fontId="0" fillId="0" borderId="0" xfId="0" applyNumberFormat="1" applyAlignment="1">
      <alignment horizontal="center"/>
    </xf>
    <xf numFmtId="4" fontId="0" fillId="0" borderId="1" xfId="0" applyNumberFormat="1" applyBorder="1"/>
    <xf numFmtId="4" fontId="0" fillId="0" borderId="2" xfId="0" applyNumberFormat="1" applyBorder="1" applyAlignment="1">
      <alignment horizontal="center"/>
    </xf>
    <xf numFmtId="4" fontId="0" fillId="0" borderId="15" xfId="0" applyNumberFormat="1" applyBorder="1"/>
    <xf numFmtId="4" fontId="0" fillId="0" borderId="14" xfId="0" applyNumberFormat="1" applyBorder="1"/>
    <xf numFmtId="4" fontId="0" fillId="0" borderId="19" xfId="0" applyNumberFormat="1" applyBorder="1"/>
    <xf numFmtId="4" fontId="0" fillId="0" borderId="12" xfId="0" applyNumberFormat="1" applyBorder="1"/>
    <xf numFmtId="4" fontId="0" fillId="0" borderId="20" xfId="0" applyNumberFormat="1" applyBorder="1"/>
    <xf numFmtId="4" fontId="0" fillId="0" borderId="13" xfId="0" applyNumberFormat="1" applyBorder="1"/>
    <xf numFmtId="4" fontId="0" fillId="0" borderId="2" xfId="0" applyNumberFormat="1" applyBorder="1"/>
    <xf numFmtId="1" fontId="0" fillId="0" borderId="0" xfId="0" applyNumberFormat="1" applyAlignment="1">
      <alignment horizontal="center"/>
    </xf>
    <xf numFmtId="0" fontId="1" fillId="0" borderId="0" xfId="0" applyFont="1"/>
    <xf numFmtId="0" fontId="0" fillId="4" borderId="23" xfId="0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1" fontId="2" fillId="3" borderId="24" xfId="0" applyNumberFormat="1" applyFont="1" applyFill="1" applyBorder="1" applyAlignment="1">
      <alignment horizontal="center"/>
    </xf>
    <xf numFmtId="0" fontId="4" fillId="3" borderId="14" xfId="0" applyFont="1" applyFill="1" applyBorder="1"/>
    <xf numFmtId="0" fontId="2" fillId="3" borderId="19" xfId="0" applyFont="1" applyFill="1" applyBorder="1" applyAlignment="1">
      <alignment horizontal="center"/>
    </xf>
    <xf numFmtId="1" fontId="2" fillId="3" borderId="25" xfId="0" applyNumberFormat="1" applyFont="1" applyFill="1" applyBorder="1" applyAlignment="1">
      <alignment horizontal="center"/>
    </xf>
    <xf numFmtId="0" fontId="4" fillId="3" borderId="12" xfId="0" applyFont="1" applyFill="1" applyBorder="1"/>
    <xf numFmtId="0" fontId="5" fillId="3" borderId="19" xfId="0" applyFont="1" applyFill="1" applyBorder="1" applyAlignment="1">
      <alignment horizontal="center"/>
    </xf>
    <xf numFmtId="2" fontId="2" fillId="3" borderId="25" xfId="0" applyNumberFormat="1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2" fontId="2" fillId="3" borderId="26" xfId="0" applyNumberFormat="1" applyFont="1" applyFill="1" applyBorder="1" applyAlignment="1">
      <alignment horizontal="center"/>
    </xf>
    <xf numFmtId="0" fontId="4" fillId="3" borderId="13" xfId="0" applyFont="1" applyFill="1" applyBorder="1"/>
    <xf numFmtId="0" fontId="2" fillId="2" borderId="15" xfId="0" applyFont="1" applyFill="1" applyBorder="1" applyAlignment="1">
      <alignment horizontal="center"/>
    </xf>
    <xf numFmtId="1" fontId="2" fillId="2" borderId="24" xfId="0" applyNumberFormat="1" applyFont="1" applyFill="1" applyBorder="1" applyAlignment="1">
      <alignment horizontal="center"/>
    </xf>
    <xf numFmtId="0" fontId="4" fillId="2" borderId="14" xfId="0" quotePrefix="1" applyFont="1" applyFill="1" applyBorder="1"/>
    <xf numFmtId="0" fontId="2" fillId="2" borderId="19" xfId="0" applyFont="1" applyFill="1" applyBorder="1" applyAlignment="1">
      <alignment horizontal="center"/>
    </xf>
    <xf numFmtId="1" fontId="2" fillId="2" borderId="25" xfId="0" applyNumberFormat="1" applyFont="1" applyFill="1" applyBorder="1" applyAlignment="1">
      <alignment horizontal="center"/>
    </xf>
    <xf numFmtId="0" fontId="4" fillId="2" borderId="12" xfId="0" applyFont="1" applyFill="1" applyBorder="1"/>
    <xf numFmtId="2" fontId="2" fillId="2" borderId="20" xfId="0" applyNumberFormat="1" applyFont="1" applyFill="1" applyBorder="1" applyAlignment="1">
      <alignment horizontal="center"/>
    </xf>
    <xf numFmtId="1" fontId="2" fillId="2" borderId="26" xfId="0" applyNumberFormat="1" applyFont="1" applyFill="1" applyBorder="1" applyAlignment="1">
      <alignment horizontal="center"/>
    </xf>
    <xf numFmtId="0" fontId="4" fillId="2" borderId="13" xfId="0" quotePrefix="1" applyFont="1" applyFill="1" applyBorder="1"/>
    <xf numFmtId="11" fontId="2" fillId="3" borderId="25" xfId="0" applyNumberFormat="1" applyFont="1" applyFill="1" applyBorder="1" applyAlignment="1">
      <alignment horizontal="center"/>
    </xf>
    <xf numFmtId="0" fontId="4" fillId="3" borderId="12" xfId="0" quotePrefix="1" applyFont="1" applyFill="1" applyBorder="1"/>
    <xf numFmtId="0" fontId="2" fillId="2" borderId="20" xfId="0" applyFont="1" applyFill="1" applyBorder="1" applyAlignment="1">
      <alignment horizontal="center"/>
    </xf>
    <xf numFmtId="0" fontId="2" fillId="3" borderId="12" xfId="0" applyFont="1" applyFill="1" applyBorder="1"/>
    <xf numFmtId="0" fontId="2" fillId="0" borderId="0" xfId="0" applyFont="1"/>
    <xf numFmtId="0" fontId="2" fillId="2" borderId="13" xfId="0" applyFont="1" applyFill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2" fontId="0" fillId="0" borderId="0" xfId="0" applyNumberFormat="1" applyAlignment="1">
      <alignment horizontal="center"/>
    </xf>
    <xf numFmtId="4" fontId="0" fillId="0" borderId="1" xfId="0" applyNumberFormat="1" applyBorder="1" applyAlignment="1">
      <alignment horizontal="center"/>
    </xf>
    <xf numFmtId="4" fontId="0" fillId="0" borderId="2" xfId="0" applyNumberFormat="1" applyBorder="1" applyAlignment="1">
      <alignment horizontal="center"/>
    </xf>
    <xf numFmtId="4" fontId="0" fillId="4" borderId="1" xfId="0" applyNumberFormat="1" applyFill="1" applyBorder="1" applyAlignment="1">
      <alignment horizontal="center"/>
    </xf>
    <xf numFmtId="4" fontId="0" fillId="4" borderId="2" xfId="0" applyNumberFormat="1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0" fillId="4" borderId="23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fr-FR">
                <a:solidFill>
                  <a:sysClr val="windowText" lastClr="000000"/>
                </a:solidFill>
              </a:rPr>
              <a:t>Lander Total Mass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171393263342082"/>
          <c:y val="0.15605818247232967"/>
          <c:w val="0.52683267716535431"/>
          <c:h val="0.7319237239310484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70C-4618-8963-767DBE98BD7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70C-4618-8963-767DBE98BD7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70C-4618-8963-767DBE98BD77}"/>
              </c:ext>
            </c:extLst>
          </c:dPt>
          <c:cat>
            <c:strRef>
              <c:f>('MA2'!$B$37:$B$38,'MA2'!$B$45)</c:f>
              <c:strCache>
                <c:ptCount val="3"/>
                <c:pt idx="0">
                  <c:v>payload</c:v>
                </c:pt>
                <c:pt idx="1">
                  <c:v>dry mass</c:v>
                </c:pt>
                <c:pt idx="2">
                  <c:v>Propellant</c:v>
                </c:pt>
              </c:strCache>
            </c:strRef>
          </c:cat>
          <c:val>
            <c:numRef>
              <c:f>('MA1'!$C$48:$C$49,'MA1'!$C$56)</c:f>
              <c:numCache>
                <c:formatCode>0.00</c:formatCode>
                <c:ptCount val="3"/>
                <c:pt idx="0">
                  <c:v>2000</c:v>
                </c:pt>
                <c:pt idx="1">
                  <c:v>1887.5654643652115</c:v>
                </c:pt>
                <c:pt idx="2">
                  <c:v>120845.0914661539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70C-4618-8963-767DBE98B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5134230096237975"/>
          <c:y val="0.20019216697742367"/>
          <c:w val="0.22231517935258097"/>
          <c:h val="0.591414232268007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fr-FR">
                <a:solidFill>
                  <a:sysClr val="windowText" lastClr="000000"/>
                </a:solidFill>
              </a:rPr>
              <a:t>Lander Total Mass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171393263342082"/>
          <c:y val="0.15605818247232967"/>
          <c:w val="0.52683267716535431"/>
          <c:h val="0.7319237239310484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29B-4AC6-8EB8-413251F2661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29B-4AC6-8EB8-413251F2661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29B-4AC6-8EB8-413251F2661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29B-4AC6-8EB8-413251F2661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29B-4AC6-8EB8-413251F2661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29B-4AC6-8EB8-413251F2661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29B-4AC6-8EB8-413251F2661A}"/>
              </c:ext>
            </c:extLst>
          </c:dPt>
          <c:cat>
            <c:strRef>
              <c:f>('MA2'!$B$37,'MA2'!$B$39:$B$44)</c:f>
              <c:strCache>
                <c:ptCount val="7"/>
                <c:pt idx="0">
                  <c:v>payload</c:v>
                </c:pt>
                <c:pt idx="1">
                  <c:v>Structure</c:v>
                </c:pt>
                <c:pt idx="2">
                  <c:v>Propulsion</c:v>
                </c:pt>
                <c:pt idx="3">
                  <c:v>Power</c:v>
                </c:pt>
                <c:pt idx="4">
                  <c:v>Avionics</c:v>
                </c:pt>
                <c:pt idx="5">
                  <c:v>Thermal</c:v>
                </c:pt>
                <c:pt idx="6">
                  <c:v>Other</c:v>
                </c:pt>
              </c:strCache>
            </c:strRef>
          </c:cat>
          <c:val>
            <c:numRef>
              <c:f>('MA1'!$C$48,'MA1'!$C$50:$C$55)</c:f>
              <c:numCache>
                <c:formatCode>0.00</c:formatCode>
                <c:ptCount val="7"/>
                <c:pt idx="0">
                  <c:v>2000</c:v>
                </c:pt>
                <c:pt idx="1">
                  <c:v>520.96806816479841</c:v>
                </c:pt>
                <c:pt idx="2">
                  <c:v>636.10956149107631</c:v>
                </c:pt>
                <c:pt idx="3">
                  <c:v>143.45497529175606</c:v>
                </c:pt>
                <c:pt idx="4">
                  <c:v>166.1057608641386</c:v>
                </c:pt>
                <c:pt idx="5">
                  <c:v>245.3835103674775</c:v>
                </c:pt>
                <c:pt idx="6">
                  <c:v>177.43115365032989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29B-4AC6-8EB8-413251F266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5134230096237975"/>
          <c:y val="0.20019216697742367"/>
          <c:w val="0.22231517935258097"/>
          <c:h val="0.591414232268007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fr-FR">
                <a:solidFill>
                  <a:sysClr val="windowText" lastClr="000000"/>
                </a:solidFill>
              </a:rPr>
              <a:t>ORLA Lander Total Mass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171393263342082"/>
          <c:y val="0.15605818247232967"/>
          <c:w val="0.52683267716535431"/>
          <c:h val="0.7319237239310484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CCE-4488-BE3E-07FF622CE76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CCE-4488-BE3E-07FF622CE76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CCE-4488-BE3E-07FF622CE76E}"/>
              </c:ext>
            </c:extLst>
          </c:dPt>
          <c:cat>
            <c:strRef>
              <c:f>('MA2'!$B$37:$B$38,'MA2'!$B$45)</c:f>
              <c:strCache>
                <c:ptCount val="3"/>
                <c:pt idx="0">
                  <c:v>payload</c:v>
                </c:pt>
                <c:pt idx="1">
                  <c:v>dry mass</c:v>
                </c:pt>
                <c:pt idx="2">
                  <c:v>Propellant</c:v>
                </c:pt>
              </c:strCache>
            </c:strRef>
          </c:cat>
          <c:val>
            <c:numRef>
              <c:f>('MA2'!$C$37:$C$38,'MA2'!$C$45)</c:f>
              <c:numCache>
                <c:formatCode>0.00</c:formatCode>
                <c:ptCount val="3"/>
                <c:pt idx="0">
                  <c:v>2000</c:v>
                </c:pt>
                <c:pt idx="1">
                  <c:v>1887.5654643652115</c:v>
                </c:pt>
                <c:pt idx="2">
                  <c:v>16676.876270165358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28-4167-A2A9-6D8A24C6E4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5134230096237975"/>
          <c:y val="0.20019216697742367"/>
          <c:w val="0.22231517935258097"/>
          <c:h val="0.591414232268007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fr-FR">
                <a:solidFill>
                  <a:sysClr val="windowText" lastClr="000000"/>
                </a:solidFill>
              </a:rPr>
              <a:t>ORLA Lander Total Mass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171393263342082"/>
          <c:y val="0.15605818247232967"/>
          <c:w val="0.52683267716535431"/>
          <c:h val="0.7319237239310484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575-4CE1-B509-E3F0028DEF5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575-4CE1-B509-E3F0028DEF5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575-4CE1-B509-E3F0028DEF5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6AE-4F8B-B0A0-6CFADDFDF93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6AE-4F8B-B0A0-6CFADDFDF93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6AE-4F8B-B0A0-6CFADDFDF93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6AE-4F8B-B0A0-6CFADDFDF93A}"/>
              </c:ext>
            </c:extLst>
          </c:dPt>
          <c:cat>
            <c:strRef>
              <c:f>('MA2'!$B$37,'MA2'!$B$39:$B$44)</c:f>
              <c:strCache>
                <c:ptCount val="7"/>
                <c:pt idx="0">
                  <c:v>payload</c:v>
                </c:pt>
                <c:pt idx="1">
                  <c:v>Structure</c:v>
                </c:pt>
                <c:pt idx="2">
                  <c:v>Propulsion</c:v>
                </c:pt>
                <c:pt idx="3">
                  <c:v>Power</c:v>
                </c:pt>
                <c:pt idx="4">
                  <c:v>Avionics</c:v>
                </c:pt>
                <c:pt idx="5">
                  <c:v>Thermal</c:v>
                </c:pt>
                <c:pt idx="6">
                  <c:v>Other</c:v>
                </c:pt>
              </c:strCache>
            </c:strRef>
          </c:cat>
          <c:val>
            <c:numRef>
              <c:f>('MA2'!$C$37,'MA2'!$C$39:$C$44)</c:f>
              <c:numCache>
                <c:formatCode>0.00</c:formatCode>
                <c:ptCount val="7"/>
                <c:pt idx="0">
                  <c:v>2000</c:v>
                </c:pt>
                <c:pt idx="1">
                  <c:v>520.96806816479841</c:v>
                </c:pt>
                <c:pt idx="2">
                  <c:v>636.10956149107631</c:v>
                </c:pt>
                <c:pt idx="3">
                  <c:v>143.45497529175606</c:v>
                </c:pt>
                <c:pt idx="4">
                  <c:v>166.1057608641386</c:v>
                </c:pt>
                <c:pt idx="5">
                  <c:v>245.3835103674775</c:v>
                </c:pt>
                <c:pt idx="6">
                  <c:v>177.43115365032989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575-4CE1-B509-E3F0028DEF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5134230096237975"/>
          <c:y val="0.20019216697742367"/>
          <c:w val="0.22231517935258097"/>
          <c:h val="0.591414232268007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fr-FR">
                <a:solidFill>
                  <a:sysClr val="windowText" lastClr="000000"/>
                </a:solidFill>
              </a:rPr>
              <a:t>ORLA Lander Total Mass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171393263342082"/>
          <c:y val="0.15605818247232967"/>
          <c:w val="0.52683267716535431"/>
          <c:h val="0.7319237239310484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0D2-4499-B3AE-FC071CFF2C6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0D2-4499-B3AE-FC071CFF2C6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0D2-4499-B3AE-FC071CFF2C6F}"/>
              </c:ext>
            </c:extLst>
          </c:dPt>
          <c:cat>
            <c:strRef>
              <c:f>('MA2'!$B$37:$B$38,'MA2'!$B$45)</c:f>
              <c:strCache>
                <c:ptCount val="3"/>
                <c:pt idx="0">
                  <c:v>payload</c:v>
                </c:pt>
                <c:pt idx="1">
                  <c:v>dry mass</c:v>
                </c:pt>
                <c:pt idx="2">
                  <c:v>Propellant</c:v>
                </c:pt>
              </c:strCache>
            </c:strRef>
          </c:cat>
          <c:val>
            <c:numRef>
              <c:f>('MA2'!$C$37:$C$38,'MA2'!$C$45)</c:f>
              <c:numCache>
                <c:formatCode>0.00</c:formatCode>
                <c:ptCount val="3"/>
                <c:pt idx="0">
                  <c:v>2000</c:v>
                </c:pt>
                <c:pt idx="1">
                  <c:v>1887.5654643652115</c:v>
                </c:pt>
                <c:pt idx="2">
                  <c:v>16676.876270165358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0D2-4499-B3AE-FC071CFF2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5134230096237975"/>
          <c:y val="0.20019216697742367"/>
          <c:w val="0.22231517935258097"/>
          <c:h val="0.591414232268007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fr-FR">
                <a:solidFill>
                  <a:sysClr val="windowText" lastClr="000000"/>
                </a:solidFill>
              </a:rPr>
              <a:t>ORLA Lander Total Mass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171393263342082"/>
          <c:y val="0.15605818247232967"/>
          <c:w val="0.52683267716535431"/>
          <c:h val="0.7319237239310484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721-48D9-B7D5-28A55448075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721-48D9-B7D5-28A55448075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721-48D9-B7D5-28A55448075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721-48D9-B7D5-28A55448075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721-48D9-B7D5-28A55448075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721-48D9-B7D5-28A55448075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721-48D9-B7D5-28A55448075A}"/>
              </c:ext>
            </c:extLst>
          </c:dPt>
          <c:cat>
            <c:strRef>
              <c:f>('MA2'!$B$37,'MA2'!$B$39:$B$44)</c:f>
              <c:strCache>
                <c:ptCount val="7"/>
                <c:pt idx="0">
                  <c:v>payload</c:v>
                </c:pt>
                <c:pt idx="1">
                  <c:v>Structure</c:v>
                </c:pt>
                <c:pt idx="2">
                  <c:v>Propulsion</c:v>
                </c:pt>
                <c:pt idx="3">
                  <c:v>Power</c:v>
                </c:pt>
                <c:pt idx="4">
                  <c:v>Avionics</c:v>
                </c:pt>
                <c:pt idx="5">
                  <c:v>Thermal</c:v>
                </c:pt>
                <c:pt idx="6">
                  <c:v>Other</c:v>
                </c:pt>
              </c:strCache>
            </c:strRef>
          </c:cat>
          <c:val>
            <c:numRef>
              <c:f>('MA2'!$C$37,'MA2'!$C$39:$C$44)</c:f>
              <c:numCache>
                <c:formatCode>0.00</c:formatCode>
                <c:ptCount val="7"/>
                <c:pt idx="0">
                  <c:v>2000</c:v>
                </c:pt>
                <c:pt idx="1">
                  <c:v>520.96806816479841</c:v>
                </c:pt>
                <c:pt idx="2">
                  <c:v>636.10956149107631</c:v>
                </c:pt>
                <c:pt idx="3">
                  <c:v>143.45497529175606</c:v>
                </c:pt>
                <c:pt idx="4">
                  <c:v>166.1057608641386</c:v>
                </c:pt>
                <c:pt idx="5">
                  <c:v>245.3835103674775</c:v>
                </c:pt>
                <c:pt idx="6">
                  <c:v>177.43115365032989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721-48D9-B7D5-28A5544807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5134230096237975"/>
          <c:y val="0.20019216697742367"/>
          <c:w val="0.22231517935258097"/>
          <c:h val="0.591414232268007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fr-FR">
                <a:solidFill>
                  <a:sysClr val="windowText" lastClr="000000"/>
                </a:solidFill>
              </a:rPr>
              <a:t>ORLA Lander Total Mass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171393263342082"/>
          <c:y val="0.15605818247232967"/>
          <c:w val="0.52683267716535431"/>
          <c:h val="0.7319237239310484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D0E-44A1-A094-F20FDB3AA18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D0E-44A1-A094-F20FDB3AA18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D0E-44A1-A094-F20FDB3AA18B}"/>
              </c:ext>
            </c:extLst>
          </c:dPt>
          <c:cat>
            <c:strRef>
              <c:f>('MA2'!$B$37:$B$38,'MA2'!$B$45)</c:f>
              <c:strCache>
                <c:ptCount val="3"/>
                <c:pt idx="0">
                  <c:v>payload</c:v>
                </c:pt>
                <c:pt idx="1">
                  <c:v>dry mass</c:v>
                </c:pt>
                <c:pt idx="2">
                  <c:v>Propellant</c:v>
                </c:pt>
              </c:strCache>
            </c:strRef>
          </c:cat>
          <c:val>
            <c:numRef>
              <c:f>('MA2'!$C$37:$C$38,'MA2'!$C$45)</c:f>
              <c:numCache>
                <c:formatCode>0.00</c:formatCode>
                <c:ptCount val="3"/>
                <c:pt idx="0">
                  <c:v>2000</c:v>
                </c:pt>
                <c:pt idx="1">
                  <c:v>1887.5654643652115</c:v>
                </c:pt>
                <c:pt idx="2">
                  <c:v>16676.876270165358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D0E-44A1-A094-F20FDB3AA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5134230096237975"/>
          <c:y val="0.20019216697742367"/>
          <c:w val="0.22231517935258097"/>
          <c:h val="0.591414232268007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fr-FR">
                <a:solidFill>
                  <a:sysClr val="windowText" lastClr="000000"/>
                </a:solidFill>
              </a:rPr>
              <a:t>ORLA Lander Total Mass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171393263342082"/>
          <c:y val="0.15605818247232967"/>
          <c:w val="0.52683267716535431"/>
          <c:h val="0.7319237239310484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E1E-456D-82E6-B9F59DB786F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E1E-456D-82E6-B9F59DB786F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E1E-456D-82E6-B9F59DB786F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E1E-456D-82E6-B9F59DB786F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E1E-456D-82E6-B9F59DB786F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E1E-456D-82E6-B9F59DB786F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E1E-456D-82E6-B9F59DB786F6}"/>
              </c:ext>
            </c:extLst>
          </c:dPt>
          <c:cat>
            <c:strRef>
              <c:f>('MA2'!$B$37,'MA2'!$B$39:$B$44)</c:f>
              <c:strCache>
                <c:ptCount val="7"/>
                <c:pt idx="0">
                  <c:v>payload</c:v>
                </c:pt>
                <c:pt idx="1">
                  <c:v>Structure</c:v>
                </c:pt>
                <c:pt idx="2">
                  <c:v>Propulsion</c:v>
                </c:pt>
                <c:pt idx="3">
                  <c:v>Power</c:v>
                </c:pt>
                <c:pt idx="4">
                  <c:v>Avionics</c:v>
                </c:pt>
                <c:pt idx="5">
                  <c:v>Thermal</c:v>
                </c:pt>
                <c:pt idx="6">
                  <c:v>Other</c:v>
                </c:pt>
              </c:strCache>
            </c:strRef>
          </c:cat>
          <c:val>
            <c:numRef>
              <c:f>('MA2'!$C$37,'MA2'!$C$39:$C$44)</c:f>
              <c:numCache>
                <c:formatCode>0.00</c:formatCode>
                <c:ptCount val="7"/>
                <c:pt idx="0">
                  <c:v>2000</c:v>
                </c:pt>
                <c:pt idx="1">
                  <c:v>520.96806816479841</c:v>
                </c:pt>
                <c:pt idx="2">
                  <c:v>636.10956149107631</c:v>
                </c:pt>
                <c:pt idx="3">
                  <c:v>143.45497529175606</c:v>
                </c:pt>
                <c:pt idx="4">
                  <c:v>166.1057608641386</c:v>
                </c:pt>
                <c:pt idx="5">
                  <c:v>245.3835103674775</c:v>
                </c:pt>
                <c:pt idx="6">
                  <c:v>177.43115365032989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E1E-456D-82E6-B9F59DB78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5134230096237975"/>
          <c:y val="0.20019216697742367"/>
          <c:w val="0.22231517935258097"/>
          <c:h val="0.591414232268007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fr-FR">
                <a:solidFill>
                  <a:sysClr val="windowText" lastClr="000000"/>
                </a:solidFill>
              </a:rPr>
              <a:t>ORLA Lander Total Mass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171393263342082"/>
          <c:y val="0.15605818247232967"/>
          <c:w val="0.52683267716535431"/>
          <c:h val="0.7319237239310484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8FF-4F31-8E6A-87F5B293B0F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8FF-4F31-8E6A-87F5B293B0F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8FF-4F31-8E6A-87F5B293B0F8}"/>
              </c:ext>
            </c:extLst>
          </c:dPt>
          <c:cat>
            <c:strRef>
              <c:f>('MA2'!$B$37:$B$38,'MA2'!$B$45)</c:f>
              <c:strCache>
                <c:ptCount val="3"/>
                <c:pt idx="0">
                  <c:v>payload</c:v>
                </c:pt>
                <c:pt idx="1">
                  <c:v>dry mass</c:v>
                </c:pt>
                <c:pt idx="2">
                  <c:v>Propellant</c:v>
                </c:pt>
              </c:strCache>
            </c:strRef>
          </c:cat>
          <c:val>
            <c:numRef>
              <c:f>('MA2'!$C$37:$C$38,'MA2'!$C$45)</c:f>
              <c:numCache>
                <c:formatCode>0.00</c:formatCode>
                <c:ptCount val="3"/>
                <c:pt idx="0">
                  <c:v>2000</c:v>
                </c:pt>
                <c:pt idx="1">
                  <c:v>1887.5654643652115</c:v>
                </c:pt>
                <c:pt idx="2">
                  <c:v>16676.876270165358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8FF-4F31-8E6A-87F5B293B0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5134230096237975"/>
          <c:y val="0.20019216697742367"/>
          <c:w val="0.22231517935258097"/>
          <c:h val="0.591414232268007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fr-FR">
                <a:solidFill>
                  <a:sysClr val="windowText" lastClr="000000"/>
                </a:solidFill>
              </a:rPr>
              <a:t>ORLA Lander Total Mass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171393263342082"/>
          <c:y val="0.15605818247232967"/>
          <c:w val="0.52683267716535431"/>
          <c:h val="0.7319237239310484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C5A-4577-8B5D-E32FC3ABC3F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C5A-4577-8B5D-E32FC3ABC3F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C5A-4577-8B5D-E32FC3ABC3F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C5A-4577-8B5D-E32FC3ABC3F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C5A-4577-8B5D-E32FC3ABC3F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C5A-4577-8B5D-E32FC3ABC3F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C5A-4577-8B5D-E32FC3ABC3F8}"/>
              </c:ext>
            </c:extLst>
          </c:dPt>
          <c:cat>
            <c:strRef>
              <c:f>('MA2'!$B$37,'MA2'!$B$39:$B$44)</c:f>
              <c:strCache>
                <c:ptCount val="7"/>
                <c:pt idx="0">
                  <c:v>payload</c:v>
                </c:pt>
                <c:pt idx="1">
                  <c:v>Structure</c:v>
                </c:pt>
                <c:pt idx="2">
                  <c:v>Propulsion</c:v>
                </c:pt>
                <c:pt idx="3">
                  <c:v>Power</c:v>
                </c:pt>
                <c:pt idx="4">
                  <c:v>Avionics</c:v>
                </c:pt>
                <c:pt idx="5">
                  <c:v>Thermal</c:v>
                </c:pt>
                <c:pt idx="6">
                  <c:v>Other</c:v>
                </c:pt>
              </c:strCache>
            </c:strRef>
          </c:cat>
          <c:val>
            <c:numRef>
              <c:f>('MA2'!$C$37,'MA2'!$C$39:$C$44)</c:f>
              <c:numCache>
                <c:formatCode>0.00</c:formatCode>
                <c:ptCount val="7"/>
                <c:pt idx="0">
                  <c:v>2000</c:v>
                </c:pt>
                <c:pt idx="1">
                  <c:v>520.96806816479841</c:v>
                </c:pt>
                <c:pt idx="2">
                  <c:v>636.10956149107631</c:v>
                </c:pt>
                <c:pt idx="3">
                  <c:v>143.45497529175606</c:v>
                </c:pt>
                <c:pt idx="4">
                  <c:v>166.1057608641386</c:v>
                </c:pt>
                <c:pt idx="5">
                  <c:v>245.3835103674775</c:v>
                </c:pt>
                <c:pt idx="6">
                  <c:v>177.43115365032989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C5A-4577-8B5D-E32FC3ABC3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5134230096237975"/>
          <c:y val="0.20019216697742367"/>
          <c:w val="0.22231517935258097"/>
          <c:h val="0.591414232268007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566737</xdr:colOff>
      <xdr:row>57</xdr:row>
      <xdr:rowOff>109537</xdr:rowOff>
    </xdr:from>
    <xdr:to>
      <xdr:col>6</xdr:col>
      <xdr:colOff>290512</xdr:colOff>
      <xdr:row>74</xdr:row>
      <xdr:rowOff>161925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CDEDE7B5-5805-4CF8-B298-E7364788AC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495300</xdr:colOff>
      <xdr:row>75</xdr:row>
      <xdr:rowOff>131445</xdr:rowOff>
    </xdr:from>
    <xdr:to>
      <xdr:col>6</xdr:col>
      <xdr:colOff>264795</xdr:colOff>
      <xdr:row>92</xdr:row>
      <xdr:rowOff>132945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88343583-94ED-4D2F-B1F0-D0D2B41DA5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584019</xdr:colOff>
      <xdr:row>2</xdr:row>
      <xdr:rowOff>130084</xdr:rowOff>
    </xdr:from>
    <xdr:to>
      <xdr:col>26</xdr:col>
      <xdr:colOff>58946</xdr:colOff>
      <xdr:row>25</xdr:row>
      <xdr:rowOff>77112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9A960F5E-BA73-68F8-252F-7320EBFC2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422233" y="483870"/>
          <a:ext cx="8152474" cy="42196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566737</xdr:colOff>
      <xdr:row>46</xdr:row>
      <xdr:rowOff>109537</xdr:rowOff>
    </xdr:from>
    <xdr:to>
      <xdr:col>6</xdr:col>
      <xdr:colOff>290512</xdr:colOff>
      <xdr:row>63</xdr:row>
      <xdr:rowOff>161925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776C6CE-6022-539F-9E2A-132A171BAD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228600</xdr:colOff>
      <xdr:row>46</xdr:row>
      <xdr:rowOff>28575</xdr:rowOff>
    </xdr:from>
    <xdr:to>
      <xdr:col>13</xdr:col>
      <xdr:colOff>866775</xdr:colOff>
      <xdr:row>63</xdr:row>
      <xdr:rowOff>30075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5AB20CB9-CBD1-4057-877C-321AA450BC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96982</xdr:colOff>
      <xdr:row>5</xdr:row>
      <xdr:rowOff>96982</xdr:rowOff>
    </xdr:from>
    <xdr:to>
      <xdr:col>23</xdr:col>
      <xdr:colOff>96439</xdr:colOff>
      <xdr:row>24</xdr:row>
      <xdr:rowOff>38407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EF61E01D-62A6-DDC3-56C7-9F4AFCD7E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425055" y="1011382"/>
          <a:ext cx="6218459" cy="354360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566737</xdr:colOff>
      <xdr:row>46</xdr:row>
      <xdr:rowOff>109537</xdr:rowOff>
    </xdr:from>
    <xdr:to>
      <xdr:col>6</xdr:col>
      <xdr:colOff>290512</xdr:colOff>
      <xdr:row>63</xdr:row>
      <xdr:rowOff>161925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B985FC0-674D-44AA-813F-C2BFD6A38C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572173</xdr:colOff>
      <xdr:row>64</xdr:row>
      <xdr:rowOff>43590</xdr:rowOff>
    </xdr:from>
    <xdr:to>
      <xdr:col>6</xdr:col>
      <xdr:colOff>313766</xdr:colOff>
      <xdr:row>81</xdr:row>
      <xdr:rowOff>45090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8C15483-F902-40CA-81FE-7FAFA18CF3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19</xdr:col>
      <xdr:colOff>685800</xdr:colOff>
      <xdr:row>3</xdr:row>
      <xdr:rowOff>0</xdr:rowOff>
    </xdr:from>
    <xdr:to>
      <xdr:col>27</xdr:col>
      <xdr:colOff>427252</xdr:colOff>
      <xdr:row>21</xdr:row>
      <xdr:rowOff>53642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4E50CBBA-96C9-931B-F5A1-695AFAC01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821150" y="571500"/>
          <a:ext cx="6142252" cy="348264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566737</xdr:colOff>
      <xdr:row>45</xdr:row>
      <xdr:rowOff>109537</xdr:rowOff>
    </xdr:from>
    <xdr:to>
      <xdr:col>6</xdr:col>
      <xdr:colOff>290512</xdr:colOff>
      <xdr:row>62</xdr:row>
      <xdr:rowOff>161925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033C6FB-04C9-43CD-BAB9-5571D08E94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228600</xdr:colOff>
      <xdr:row>45</xdr:row>
      <xdr:rowOff>28575</xdr:rowOff>
    </xdr:from>
    <xdr:to>
      <xdr:col>13</xdr:col>
      <xdr:colOff>866775</xdr:colOff>
      <xdr:row>62</xdr:row>
      <xdr:rowOff>30075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369D825F-E3CA-4B75-94C5-8FCFCF5C63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17</xdr:col>
      <xdr:colOff>55418</xdr:colOff>
      <xdr:row>1</xdr:row>
      <xdr:rowOff>110837</xdr:rowOff>
    </xdr:from>
    <xdr:to>
      <xdr:col>25</xdr:col>
      <xdr:colOff>24791</xdr:colOff>
      <xdr:row>19</xdr:row>
      <xdr:rowOff>45315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384C0CCD-937D-3046-3731-27733636F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480473" y="290946"/>
          <a:ext cx="6287045" cy="331498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609600</xdr:colOff>
      <xdr:row>2</xdr:row>
      <xdr:rowOff>167640</xdr:rowOff>
    </xdr:from>
    <xdr:to>
      <xdr:col>24</xdr:col>
      <xdr:colOff>381530</xdr:colOff>
      <xdr:row>21</xdr:row>
      <xdr:rowOff>160324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4BC154A-00A6-4ABB-91C8-C9BAD952C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89280" y="533400"/>
          <a:ext cx="6111770" cy="3513124"/>
        </a:xfrm>
        <a:prstGeom prst="rect">
          <a:avLst/>
        </a:prstGeom>
      </xdr:spPr>
    </xdr:pic>
    <xdr:clientData/>
  </xdr:twoCellAnchor>
  <xdr:twoCellAnchor>
    <xdr:from>
      <xdr:col>0</xdr:col>
      <xdr:colOff>566737</xdr:colOff>
      <xdr:row>45</xdr:row>
      <xdr:rowOff>109537</xdr:rowOff>
    </xdr:from>
    <xdr:to>
      <xdr:col>6</xdr:col>
      <xdr:colOff>290512</xdr:colOff>
      <xdr:row>62</xdr:row>
      <xdr:rowOff>161925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4767BF05-58CA-4DF2-A65F-A4F046E29A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228600</xdr:colOff>
      <xdr:row>45</xdr:row>
      <xdr:rowOff>28575</xdr:rowOff>
    </xdr:from>
    <xdr:to>
      <xdr:col>13</xdr:col>
      <xdr:colOff>866775</xdr:colOff>
      <xdr:row>62</xdr:row>
      <xdr:rowOff>30075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BAB3E87C-E896-4E11-8186-2F43B266BF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4C8F8-0F0C-4376-A0A6-791FA3026773}">
  <dimension ref="A2:O57"/>
  <sheetViews>
    <sheetView tabSelected="1" topLeftCell="A26" zoomScale="70" zoomScaleNormal="70" workbookViewId="0">
      <selection activeCell="J65" sqref="J65"/>
    </sheetView>
  </sheetViews>
  <sheetFormatPr baseColWidth="10" defaultRowHeight="15" x14ac:dyDescent="0.25"/>
  <sheetData>
    <row r="2" spans="1:15" x14ac:dyDescent="0.25">
      <c r="A2" t="s">
        <v>11</v>
      </c>
    </row>
    <row r="5" spans="1:15" ht="15.75" thickBot="1" x14ac:dyDescent="0.3"/>
    <row r="6" spans="1:15" ht="15.75" thickBot="1" x14ac:dyDescent="0.3">
      <c r="H6" s="105" t="s">
        <v>53</v>
      </c>
      <c r="I6" s="106"/>
      <c r="K6" s="103" t="s">
        <v>29</v>
      </c>
      <c r="L6" s="104"/>
      <c r="N6" s="103" t="s">
        <v>28</v>
      </c>
      <c r="O6" s="104"/>
    </row>
    <row r="7" spans="1:15" x14ac:dyDescent="0.25">
      <c r="H7" s="49" t="s">
        <v>0</v>
      </c>
      <c r="I7" s="50">
        <v>2000</v>
      </c>
      <c r="K7" s="67" t="s">
        <v>54</v>
      </c>
      <c r="L7" s="68">
        <f>I10</f>
        <v>1887.5654643652115</v>
      </c>
      <c r="N7" s="63" t="s">
        <v>56</v>
      </c>
      <c r="O7" s="64">
        <f>I7</f>
        <v>2000</v>
      </c>
    </row>
    <row r="8" spans="1:15" x14ac:dyDescent="0.25">
      <c r="G8" s="12" t="s">
        <v>18</v>
      </c>
      <c r="H8" s="51" t="s">
        <v>47</v>
      </c>
      <c r="I8" s="52">
        <v>367.29</v>
      </c>
      <c r="K8" s="69" t="s">
        <v>55</v>
      </c>
      <c r="L8" s="70">
        <f>I13</f>
        <v>120845.0914661539</v>
      </c>
      <c r="N8" s="63"/>
      <c r="O8" s="64"/>
    </row>
    <row r="9" spans="1:15" ht="15.75" thickBot="1" x14ac:dyDescent="0.3">
      <c r="G9" s="12" t="s">
        <v>19</v>
      </c>
      <c r="H9" s="53" t="s">
        <v>6</v>
      </c>
      <c r="I9" s="54">
        <v>-904.17</v>
      </c>
      <c r="K9" s="69"/>
      <c r="L9" s="70"/>
      <c r="N9" s="63" t="s">
        <v>55</v>
      </c>
      <c r="O9" s="64">
        <f>I13</f>
        <v>120845.0914661539</v>
      </c>
    </row>
    <row r="10" spans="1:15" ht="15.75" thickBot="1" x14ac:dyDescent="0.3">
      <c r="G10" s="12" t="s">
        <v>20</v>
      </c>
      <c r="H10" s="55" t="s">
        <v>1</v>
      </c>
      <c r="I10" s="56">
        <f>I8*LN(I7)+I9</f>
        <v>1887.5654643652115</v>
      </c>
      <c r="K10" s="69"/>
      <c r="L10" s="70"/>
      <c r="N10" s="65" t="s">
        <v>25</v>
      </c>
      <c r="O10" s="66">
        <f>SUM(O7:O9)</f>
        <v>122845.0914661539</v>
      </c>
    </row>
    <row r="11" spans="1:15" x14ac:dyDescent="0.25">
      <c r="G11" s="12"/>
      <c r="H11" s="51" t="s">
        <v>4</v>
      </c>
      <c r="I11" s="52">
        <v>350</v>
      </c>
      <c r="K11" s="69" t="s">
        <v>34</v>
      </c>
      <c r="L11" s="70">
        <v>0</v>
      </c>
      <c r="N11" s="63"/>
      <c r="O11" s="64"/>
    </row>
    <row r="12" spans="1:15" ht="15.75" thickBot="1" x14ac:dyDescent="0.3">
      <c r="G12" s="12"/>
      <c r="H12" s="51" t="s">
        <v>5</v>
      </c>
      <c r="I12" s="52">
        <v>11800</v>
      </c>
      <c r="K12" s="71" t="s">
        <v>26</v>
      </c>
      <c r="L12" s="72">
        <v>0</v>
      </c>
      <c r="N12" s="63"/>
      <c r="O12" s="63"/>
    </row>
    <row r="13" spans="1:15" ht="15.75" thickBot="1" x14ac:dyDescent="0.3">
      <c r="G13" s="12"/>
      <c r="H13" s="57" t="s">
        <v>2</v>
      </c>
      <c r="I13" s="58">
        <f>(I7+I10)*EXP(I12/(I11*9.81))</f>
        <v>120845.0914661539</v>
      </c>
      <c r="K13" s="65" t="s">
        <v>30</v>
      </c>
      <c r="L13" s="73">
        <f>SUM(L7:L12)</f>
        <v>122732.65693051911</v>
      </c>
      <c r="N13" s="63"/>
      <c r="O13" s="63"/>
    </row>
    <row r="14" spans="1:15" ht="15.75" thickBot="1" x14ac:dyDescent="0.3">
      <c r="G14" s="12"/>
      <c r="H14" s="59" t="s">
        <v>3</v>
      </c>
      <c r="I14" s="60">
        <f>I13+I10+I7</f>
        <v>124732.65693051911</v>
      </c>
      <c r="K14" s="63"/>
      <c r="L14" s="63"/>
      <c r="N14" s="63"/>
      <c r="O14" s="63"/>
    </row>
    <row r="15" spans="1:15" ht="15.75" thickBot="1" x14ac:dyDescent="0.3">
      <c r="G15" s="12"/>
      <c r="H15" s="61"/>
      <c r="I15" s="62"/>
      <c r="K15" s="63"/>
      <c r="L15" s="63"/>
      <c r="N15" s="63"/>
      <c r="O15" s="63"/>
    </row>
    <row r="16" spans="1:15" ht="15.75" thickBot="1" x14ac:dyDescent="0.3">
      <c r="G16" s="12"/>
      <c r="H16" s="105" t="s">
        <v>53</v>
      </c>
      <c r="I16" s="106"/>
      <c r="K16" s="108" t="s">
        <v>29</v>
      </c>
      <c r="L16" s="109"/>
      <c r="N16" s="108" t="s">
        <v>28</v>
      </c>
      <c r="O16" s="109"/>
    </row>
    <row r="17" spans="2:15" x14ac:dyDescent="0.25">
      <c r="G17" s="12"/>
      <c r="H17" s="49" t="s">
        <v>0</v>
      </c>
      <c r="I17" s="50">
        <v>2000</v>
      </c>
      <c r="K17" s="67" t="s">
        <v>54</v>
      </c>
      <c r="L17" s="68">
        <f>I20</f>
        <v>1887.5654643652115</v>
      </c>
      <c r="N17" s="63" t="s">
        <v>56</v>
      </c>
      <c r="O17" s="64">
        <f>I17</f>
        <v>2000</v>
      </c>
    </row>
    <row r="18" spans="2:15" x14ac:dyDescent="0.25">
      <c r="G18" s="12"/>
      <c r="H18" s="51" t="s">
        <v>47</v>
      </c>
      <c r="I18" s="52">
        <v>367.29</v>
      </c>
      <c r="K18" s="69" t="s">
        <v>55</v>
      </c>
      <c r="L18" s="70">
        <f>I23</f>
        <v>21674.713472659219</v>
      </c>
      <c r="N18" s="63"/>
      <c r="O18" s="64"/>
    </row>
    <row r="19" spans="2:15" ht="15.75" thickBot="1" x14ac:dyDescent="0.3">
      <c r="G19" s="12" t="s">
        <v>19</v>
      </c>
      <c r="H19" s="53" t="s">
        <v>6</v>
      </c>
      <c r="I19" s="54">
        <v>-904.17</v>
      </c>
      <c r="K19" s="69"/>
      <c r="L19" s="70"/>
      <c r="N19" s="63" t="s">
        <v>55</v>
      </c>
      <c r="O19" s="64">
        <f>I23</f>
        <v>21674.713472659219</v>
      </c>
    </row>
    <row r="20" spans="2:15" ht="15.75" thickBot="1" x14ac:dyDescent="0.3">
      <c r="G20" s="12" t="s">
        <v>20</v>
      </c>
      <c r="H20" s="55" t="s">
        <v>1</v>
      </c>
      <c r="I20" s="56">
        <f>I18*LN(I17)+I19</f>
        <v>1887.5654643652115</v>
      </c>
      <c r="K20" s="69"/>
      <c r="L20" s="70"/>
      <c r="N20" s="65" t="s">
        <v>25</v>
      </c>
      <c r="O20" s="66">
        <f>SUM(O17:O19)</f>
        <v>23674.713472659219</v>
      </c>
    </row>
    <row r="21" spans="2:15" x14ac:dyDescent="0.25">
      <c r="G21" s="12" t="s">
        <v>58</v>
      </c>
      <c r="H21" s="51" t="s">
        <v>4</v>
      </c>
      <c r="I21" s="52">
        <v>350</v>
      </c>
      <c r="K21" s="69" t="s">
        <v>34</v>
      </c>
      <c r="L21" s="70">
        <v>0</v>
      </c>
      <c r="N21" s="63"/>
      <c r="O21" s="64"/>
    </row>
    <row r="22" spans="2:15" ht="15.75" thickBot="1" x14ac:dyDescent="0.3">
      <c r="G22" s="12" t="s">
        <v>59</v>
      </c>
      <c r="H22" s="51" t="s">
        <v>5</v>
      </c>
      <c r="I22" s="52">
        <v>5900</v>
      </c>
      <c r="K22" s="71" t="s">
        <v>26</v>
      </c>
      <c r="L22" s="72">
        <v>0</v>
      </c>
      <c r="N22" s="63"/>
      <c r="O22" s="63"/>
    </row>
    <row r="23" spans="2:15" ht="15.75" thickBot="1" x14ac:dyDescent="0.3">
      <c r="G23" s="12"/>
      <c r="H23" s="57" t="s">
        <v>2</v>
      </c>
      <c r="I23" s="58">
        <f>(I17+I20)*EXP(I22/(I21*9.81))</f>
        <v>21674.713472659219</v>
      </c>
      <c r="K23" s="65" t="s">
        <v>30</v>
      </c>
      <c r="L23" s="73">
        <f>SUM(L17:L22)</f>
        <v>23562.278937024432</v>
      </c>
      <c r="N23" s="63"/>
      <c r="O23" s="63"/>
    </row>
    <row r="24" spans="2:15" ht="15.75" thickBot="1" x14ac:dyDescent="0.3">
      <c r="G24" s="12"/>
      <c r="H24" s="59" t="s">
        <v>3</v>
      </c>
      <c r="I24" s="60">
        <f>I23+I20+I17</f>
        <v>25562.278937024432</v>
      </c>
      <c r="K24" s="63"/>
      <c r="L24" s="63"/>
      <c r="N24" s="63"/>
      <c r="O24" s="63"/>
    </row>
    <row r="25" spans="2:15" ht="15.75" thickBot="1" x14ac:dyDescent="0.3">
      <c r="G25" s="12"/>
      <c r="H25" s="61"/>
      <c r="I25" s="62"/>
      <c r="K25" s="63"/>
      <c r="L25" s="63"/>
      <c r="N25" s="63"/>
      <c r="O25" s="63"/>
    </row>
    <row r="26" spans="2:15" ht="15.75" thickBot="1" x14ac:dyDescent="0.3">
      <c r="B26" s="105" t="s">
        <v>53</v>
      </c>
      <c r="C26" s="106"/>
      <c r="E26" s="107"/>
      <c r="F26" s="107"/>
      <c r="G26" s="12"/>
      <c r="H26" s="110" t="s">
        <v>53</v>
      </c>
      <c r="I26" s="111"/>
      <c r="K26" s="108" t="s">
        <v>29</v>
      </c>
      <c r="L26" s="109"/>
      <c r="N26" s="108" t="s">
        <v>28</v>
      </c>
      <c r="O26" s="109"/>
    </row>
    <row r="27" spans="2:15" x14ac:dyDescent="0.25">
      <c r="B27" s="3" t="s">
        <v>0</v>
      </c>
      <c r="C27" s="7">
        <v>2000</v>
      </c>
      <c r="F27" s="47"/>
      <c r="G27" s="12"/>
      <c r="H27" s="49" t="s">
        <v>0</v>
      </c>
      <c r="I27" s="50">
        <v>2000</v>
      </c>
      <c r="K27" s="67" t="s">
        <v>54</v>
      </c>
      <c r="L27" s="68">
        <f>I30</f>
        <v>1887.5654643652115</v>
      </c>
      <c r="N27" s="63" t="s">
        <v>56</v>
      </c>
      <c r="O27" s="64">
        <f>I27</f>
        <v>2000</v>
      </c>
    </row>
    <row r="28" spans="2:15" x14ac:dyDescent="0.25">
      <c r="B28" s="4" t="s">
        <v>47</v>
      </c>
      <c r="C28" s="8">
        <v>367.29</v>
      </c>
      <c r="F28" s="48"/>
      <c r="G28" s="12" t="s">
        <v>19</v>
      </c>
      <c r="H28" s="51" t="s">
        <v>47</v>
      </c>
      <c r="I28" s="52">
        <v>367.29</v>
      </c>
      <c r="K28" s="69" t="s">
        <v>55</v>
      </c>
      <c r="L28" s="70">
        <f>I33</f>
        <v>10464.894861307723</v>
      </c>
      <c r="N28" s="63"/>
      <c r="O28" s="64"/>
    </row>
    <row r="29" spans="2:15" ht="15.75" thickBot="1" x14ac:dyDescent="0.3">
      <c r="B29" s="5" t="s">
        <v>6</v>
      </c>
      <c r="C29" s="9">
        <v>-904.17</v>
      </c>
      <c r="F29" s="47"/>
      <c r="G29" s="12" t="s">
        <v>20</v>
      </c>
      <c r="H29" s="53" t="s">
        <v>6</v>
      </c>
      <c r="I29" s="54">
        <v>-904.17</v>
      </c>
      <c r="K29" s="69"/>
      <c r="L29" s="70"/>
      <c r="N29" s="63" t="s">
        <v>55</v>
      </c>
      <c r="O29" s="64">
        <f>I33</f>
        <v>10464.894861307723</v>
      </c>
    </row>
    <row r="30" spans="2:15" ht="15.75" thickBot="1" x14ac:dyDescent="0.3">
      <c r="B30" s="43" t="s">
        <v>1</v>
      </c>
      <c r="C30" s="44">
        <f>C28*LN(C27)+C29</f>
        <v>1887.5654643652115</v>
      </c>
      <c r="F30" s="47"/>
      <c r="G30" s="12" t="s">
        <v>21</v>
      </c>
      <c r="H30" s="55" t="s">
        <v>1</v>
      </c>
      <c r="I30" s="56">
        <f>I28*LN(I27)+I29</f>
        <v>1887.5654643652115</v>
      </c>
      <c r="K30" s="69"/>
      <c r="L30" s="70"/>
      <c r="N30" s="65" t="s">
        <v>25</v>
      </c>
      <c r="O30" s="66">
        <f>SUM(O27:O29)</f>
        <v>12464.894861307723</v>
      </c>
    </row>
    <row r="31" spans="2:15" x14ac:dyDescent="0.25">
      <c r="B31" s="4" t="s">
        <v>4</v>
      </c>
      <c r="C31" s="10">
        <v>350</v>
      </c>
      <c r="F31" s="47"/>
      <c r="G31" s="12"/>
      <c r="H31" s="51" t="s">
        <v>4</v>
      </c>
      <c r="I31" s="52">
        <v>350</v>
      </c>
      <c r="K31" s="69" t="s">
        <v>34</v>
      </c>
      <c r="L31" s="70">
        <v>0</v>
      </c>
      <c r="N31" s="63"/>
      <c r="O31" s="63"/>
    </row>
    <row r="32" spans="2:15" ht="15.75" thickBot="1" x14ac:dyDescent="0.3">
      <c r="B32" s="4" t="s">
        <v>5</v>
      </c>
      <c r="C32" s="10">
        <v>4500</v>
      </c>
      <c r="F32" s="47"/>
      <c r="G32" s="12"/>
      <c r="H32" s="51" t="s">
        <v>5</v>
      </c>
      <c r="I32" s="52">
        <v>3400</v>
      </c>
      <c r="K32" s="71" t="s">
        <v>26</v>
      </c>
      <c r="L32" s="72">
        <v>0</v>
      </c>
      <c r="N32" s="63"/>
      <c r="O32" s="63"/>
    </row>
    <row r="33" spans="1:15" ht="15.75" thickBot="1" x14ac:dyDescent="0.3">
      <c r="B33" s="45" t="s">
        <v>2</v>
      </c>
      <c r="C33" s="46">
        <f>(C27+C30)*EXP(C32/(C31*9.81))</f>
        <v>14416.870835171771</v>
      </c>
      <c r="F33" s="47"/>
      <c r="G33" s="12"/>
      <c r="H33" s="57" t="s">
        <v>2</v>
      </c>
      <c r="I33" s="58">
        <f>(I27+I30)*EXP(I32/(I31*9.81))</f>
        <v>10464.894861307723</v>
      </c>
      <c r="K33" s="65" t="s">
        <v>30</v>
      </c>
      <c r="L33" s="73">
        <f>SUM(L27:L32)</f>
        <v>12352.460325672935</v>
      </c>
      <c r="N33" s="63"/>
      <c r="O33" s="63"/>
    </row>
    <row r="34" spans="1:15" ht="15.75" thickBot="1" x14ac:dyDescent="0.3">
      <c r="B34" s="6" t="s">
        <v>3</v>
      </c>
      <c r="C34" s="11">
        <f>C33+C30+C27</f>
        <v>18304.436299536981</v>
      </c>
      <c r="G34" s="12"/>
      <c r="H34" s="59" t="s">
        <v>3</v>
      </c>
      <c r="I34" s="60">
        <f>I33+I30+I27</f>
        <v>14352.460325672935</v>
      </c>
      <c r="K34" s="63"/>
      <c r="L34" s="63"/>
      <c r="N34" s="63"/>
      <c r="O34" s="63"/>
    </row>
    <row r="35" spans="1:15" ht="15.75" thickBot="1" x14ac:dyDescent="0.3">
      <c r="G35" s="12"/>
      <c r="H35" s="63"/>
      <c r="I35" s="63"/>
      <c r="K35" s="63"/>
      <c r="L35" s="63"/>
      <c r="N35" s="63"/>
      <c r="O35" s="63"/>
    </row>
    <row r="36" spans="1:15" ht="15.75" thickBot="1" x14ac:dyDescent="0.3">
      <c r="G36" s="12"/>
      <c r="H36" s="110" t="s">
        <v>53</v>
      </c>
      <c r="I36" s="111"/>
      <c r="K36" s="108" t="s">
        <v>29</v>
      </c>
      <c r="L36" s="109"/>
      <c r="N36" s="108" t="s">
        <v>28</v>
      </c>
      <c r="O36" s="109"/>
    </row>
    <row r="37" spans="1:15" x14ac:dyDescent="0.25">
      <c r="G37" s="12"/>
      <c r="H37" s="49" t="s">
        <v>0</v>
      </c>
      <c r="I37" s="50">
        <v>2000</v>
      </c>
      <c r="K37" s="67" t="s">
        <v>54</v>
      </c>
      <c r="L37" s="68">
        <f>I40</f>
        <v>1887.5654643652115</v>
      </c>
      <c r="N37" s="63" t="s">
        <v>56</v>
      </c>
      <c r="O37" s="64">
        <f>I37</f>
        <v>2000</v>
      </c>
    </row>
    <row r="38" spans="1:15" x14ac:dyDescent="0.25">
      <c r="G38" s="12" t="s">
        <v>22</v>
      </c>
      <c r="H38" s="51" t="s">
        <v>47</v>
      </c>
      <c r="I38" s="52">
        <v>367.29</v>
      </c>
      <c r="K38" s="69" t="s">
        <v>55</v>
      </c>
      <c r="L38" s="70">
        <f>I43</f>
        <v>10464.894861307723</v>
      </c>
      <c r="N38" s="63"/>
      <c r="O38" s="64"/>
    </row>
    <row r="39" spans="1:15" ht="15.75" thickBot="1" x14ac:dyDescent="0.3">
      <c r="G39" s="12" t="s">
        <v>20</v>
      </c>
      <c r="H39" s="53" t="s">
        <v>6</v>
      </c>
      <c r="I39" s="54">
        <v>-904.17</v>
      </c>
      <c r="K39" s="69"/>
      <c r="L39" s="70"/>
      <c r="N39" s="63" t="s">
        <v>55</v>
      </c>
      <c r="O39" s="64">
        <v>0</v>
      </c>
    </row>
    <row r="40" spans="1:15" ht="15.75" thickBot="1" x14ac:dyDescent="0.3">
      <c r="G40" s="12" t="s">
        <v>23</v>
      </c>
      <c r="H40" s="55" t="s">
        <v>1</v>
      </c>
      <c r="I40" s="56">
        <f>I38*LN(I37)+I39</f>
        <v>1887.5654643652115</v>
      </c>
      <c r="K40" s="69"/>
      <c r="L40" s="70"/>
      <c r="N40" s="65" t="s">
        <v>25</v>
      </c>
      <c r="O40" s="66">
        <f>SUM(O37:O39)</f>
        <v>2000</v>
      </c>
    </row>
    <row r="41" spans="1:15" x14ac:dyDescent="0.25">
      <c r="G41" s="12" t="s">
        <v>57</v>
      </c>
      <c r="H41" s="51" t="s">
        <v>4</v>
      </c>
      <c r="I41" s="52">
        <v>350</v>
      </c>
      <c r="K41" s="69" t="s">
        <v>34</v>
      </c>
      <c r="L41" s="70">
        <v>0</v>
      </c>
      <c r="N41" s="28"/>
      <c r="O41" s="29"/>
    </row>
    <row r="42" spans="1:15" ht="15.75" thickBot="1" x14ac:dyDescent="0.3">
      <c r="G42" s="12"/>
      <c r="H42" s="51" t="s">
        <v>5</v>
      </c>
      <c r="I42" s="52">
        <v>3400</v>
      </c>
      <c r="K42" s="71" t="s">
        <v>26</v>
      </c>
      <c r="L42" s="72">
        <v>0</v>
      </c>
    </row>
    <row r="43" spans="1:15" ht="15.75" thickBot="1" x14ac:dyDescent="0.3">
      <c r="G43" s="12"/>
      <c r="H43" s="57" t="s">
        <v>2</v>
      </c>
      <c r="I43" s="58">
        <f>(I37+I40)*EXP(I42/(I41*9.81))</f>
        <v>10464.894861307723</v>
      </c>
      <c r="K43" s="65" t="s">
        <v>30</v>
      </c>
      <c r="L43" s="73">
        <f>SUM(L37:L42)</f>
        <v>12352.460325672935</v>
      </c>
    </row>
    <row r="44" spans="1:15" ht="15.75" thickBot="1" x14ac:dyDescent="0.3">
      <c r="G44" s="12"/>
      <c r="H44" s="59" t="s">
        <v>3</v>
      </c>
      <c r="I44" s="60">
        <f>I43+I40+I37</f>
        <v>14352.460325672935</v>
      </c>
    </row>
    <row r="45" spans="1:15" ht="15.75" thickBot="1" x14ac:dyDescent="0.3"/>
    <row r="46" spans="1:15" ht="15.75" thickBot="1" x14ac:dyDescent="0.3">
      <c r="B46" s="103" t="s">
        <v>37</v>
      </c>
      <c r="C46" s="112"/>
      <c r="D46" s="112"/>
      <c r="E46" s="104"/>
    </row>
    <row r="47" spans="1:15" ht="15.75" thickBot="1" x14ac:dyDescent="0.3">
      <c r="A47" t="s">
        <v>48</v>
      </c>
      <c r="B47" s="113" t="s">
        <v>38</v>
      </c>
      <c r="C47" s="114"/>
      <c r="D47" s="114" t="s">
        <v>39</v>
      </c>
      <c r="E47" s="115"/>
      <c r="F47" t="s">
        <v>48</v>
      </c>
    </row>
    <row r="48" spans="1:15" ht="15.75" thickBot="1" x14ac:dyDescent="0.3">
      <c r="B48" s="37" t="s">
        <v>50</v>
      </c>
      <c r="C48" s="26">
        <f>C27</f>
        <v>2000</v>
      </c>
      <c r="D48" s="37" t="s">
        <v>50</v>
      </c>
      <c r="E48" s="26">
        <f>C27</f>
        <v>2000</v>
      </c>
    </row>
    <row r="49" spans="1:10" x14ac:dyDescent="0.25">
      <c r="B49" s="35" t="s">
        <v>40</v>
      </c>
      <c r="C49" s="36">
        <f>C30</f>
        <v>1887.5654643652115</v>
      </c>
      <c r="D49" s="35" t="s">
        <v>40</v>
      </c>
      <c r="E49" s="40">
        <f>C30</f>
        <v>1887.5654643652115</v>
      </c>
    </row>
    <row r="50" spans="1:10" x14ac:dyDescent="0.25">
      <c r="A50">
        <v>0.27600000000000002</v>
      </c>
      <c r="B50" s="37" t="s">
        <v>41</v>
      </c>
      <c r="C50" s="26">
        <f>$C$49*A50</f>
        <v>520.96806816479841</v>
      </c>
      <c r="D50" s="37" t="s">
        <v>49</v>
      </c>
      <c r="E50" s="41">
        <f>(F50*((E49+C27)/1000)^G50)+(H50*((E49+C27)/1000)^I50)+J50</f>
        <v>1454.7066188169581</v>
      </c>
      <c r="F50">
        <v>1.325</v>
      </c>
      <c r="G50">
        <v>2.863</v>
      </c>
      <c r="H50">
        <f>0.00005651</f>
        <v>5.6509999999999999E-5</v>
      </c>
      <c r="I50">
        <v>5.2690000000000001</v>
      </c>
      <c r="J50">
        <v>1390</v>
      </c>
    </row>
    <row r="51" spans="1:10" x14ac:dyDescent="0.25">
      <c r="A51">
        <v>0.33700000000000002</v>
      </c>
      <c r="B51" s="37" t="s">
        <v>42</v>
      </c>
      <c r="C51" s="26">
        <f t="shared" ref="C51:C55" si="0">$C$49*A51</f>
        <v>636.10956149107631</v>
      </c>
      <c r="D51" s="37" t="s">
        <v>42</v>
      </c>
      <c r="E51" s="41">
        <f>(F51*((E49+C27)/1000)^G51)-H51*((E49+C27)/1000)^I51</f>
        <v>111.91761866321352</v>
      </c>
      <c r="F51">
        <v>2.702</v>
      </c>
      <c r="G51">
        <v>2.7850000000000001</v>
      </c>
      <c r="H51">
        <v>1.813E-2</v>
      </c>
      <c r="I51">
        <v>4.3479999999999999</v>
      </c>
    </row>
    <row r="52" spans="1:10" x14ac:dyDescent="0.25">
      <c r="A52">
        <v>7.5999999999999998E-2</v>
      </c>
      <c r="B52" s="37" t="s">
        <v>43</v>
      </c>
      <c r="C52" s="26">
        <f t="shared" si="0"/>
        <v>143.45497529175606</v>
      </c>
      <c r="D52" s="37" t="s">
        <v>43</v>
      </c>
      <c r="E52" s="41"/>
    </row>
    <row r="53" spans="1:10" x14ac:dyDescent="0.25">
      <c r="A53">
        <v>8.7999999999999995E-2</v>
      </c>
      <c r="B53" s="37" t="s">
        <v>44</v>
      </c>
      <c r="C53" s="26">
        <f t="shared" si="0"/>
        <v>166.1057608641386</v>
      </c>
      <c r="D53" s="37" t="s">
        <v>44</v>
      </c>
      <c r="E53" s="41"/>
    </row>
    <row r="54" spans="1:10" x14ac:dyDescent="0.25">
      <c r="A54">
        <v>0.13</v>
      </c>
      <c r="B54" s="37" t="s">
        <v>45</v>
      </c>
      <c r="C54" s="26">
        <f t="shared" si="0"/>
        <v>245.3835103674775</v>
      </c>
      <c r="D54" s="37"/>
      <c r="E54" s="41"/>
    </row>
    <row r="55" spans="1:10" ht="15.75" thickBot="1" x14ac:dyDescent="0.3">
      <c r="A55">
        <v>9.4E-2</v>
      </c>
      <c r="B55" s="38" t="s">
        <v>46</v>
      </c>
      <c r="C55" s="39">
        <f t="shared" si="0"/>
        <v>177.43115365032989</v>
      </c>
      <c r="D55" s="38" t="s">
        <v>46</v>
      </c>
      <c r="E55" s="39"/>
    </row>
    <row r="56" spans="1:10" ht="15.75" thickBot="1" x14ac:dyDescent="0.3">
      <c r="B56" s="42" t="s">
        <v>51</v>
      </c>
      <c r="C56" s="27">
        <f>I13</f>
        <v>120845.0914661539</v>
      </c>
      <c r="D56" s="12" t="s">
        <v>51</v>
      </c>
    </row>
    <row r="57" spans="1:10" x14ac:dyDescent="0.25">
      <c r="B57" s="12"/>
      <c r="C57" s="12"/>
      <c r="D57" s="12"/>
    </row>
  </sheetData>
  <mergeCells count="17">
    <mergeCell ref="K36:L36"/>
    <mergeCell ref="N36:O36"/>
    <mergeCell ref="B46:E46"/>
    <mergeCell ref="B47:C47"/>
    <mergeCell ref="D47:E47"/>
    <mergeCell ref="H36:I36"/>
    <mergeCell ref="K6:L6"/>
    <mergeCell ref="N6:O6"/>
    <mergeCell ref="B26:C26"/>
    <mergeCell ref="E26:F26"/>
    <mergeCell ref="H16:I16"/>
    <mergeCell ref="K26:L26"/>
    <mergeCell ref="N26:O26"/>
    <mergeCell ref="H6:I6"/>
    <mergeCell ref="H26:I26"/>
    <mergeCell ref="K16:L16"/>
    <mergeCell ref="N16:O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DB2AC-A3E5-45C5-BBE4-EE96D11C4BF9}">
  <dimension ref="A2:X51"/>
  <sheetViews>
    <sheetView topLeftCell="A11" zoomScale="55" zoomScaleNormal="55" workbookViewId="0">
      <selection activeCell="X47" sqref="X47"/>
    </sheetView>
  </sheetViews>
  <sheetFormatPr baseColWidth="10" defaultRowHeight="15" x14ac:dyDescent="0.25"/>
  <cols>
    <col min="4" max="4" width="14.42578125" customWidth="1"/>
    <col min="5" max="6" width="12" bestFit="1" customWidth="1"/>
    <col min="8" max="8" width="14" customWidth="1"/>
    <col min="9" max="9" width="13.28515625" customWidth="1"/>
    <col min="14" max="14" width="13.42578125" bestFit="1" customWidth="1"/>
    <col min="22" max="22" width="21" customWidth="1"/>
    <col min="23" max="23" width="12.28515625" customWidth="1"/>
    <col min="24" max="24" width="20.7109375" customWidth="1"/>
  </cols>
  <sheetData>
    <row r="2" spans="1:15" x14ac:dyDescent="0.25">
      <c r="A2" t="s">
        <v>11</v>
      </c>
    </row>
    <row r="5" spans="1:15" ht="15.75" thickBot="1" x14ac:dyDescent="0.3"/>
    <row r="6" spans="1:15" ht="15.75" thickBot="1" x14ac:dyDescent="0.3">
      <c r="H6" s="103" t="s">
        <v>17</v>
      </c>
      <c r="I6" s="104"/>
      <c r="K6" s="103" t="s">
        <v>29</v>
      </c>
      <c r="L6" s="104"/>
      <c r="N6" s="103" t="s">
        <v>28</v>
      </c>
      <c r="O6" s="104"/>
    </row>
    <row r="7" spans="1:15" x14ac:dyDescent="0.25">
      <c r="H7" s="24" t="s">
        <v>7</v>
      </c>
      <c r="I7" s="25">
        <f>C16+C22</f>
        <v>18676.876270165358</v>
      </c>
      <c r="K7" s="18" t="s">
        <v>33</v>
      </c>
      <c r="L7" s="31">
        <f>F19</f>
        <v>3900</v>
      </c>
      <c r="N7" t="s">
        <v>24</v>
      </c>
      <c r="O7" s="26">
        <f>C16</f>
        <v>2000</v>
      </c>
    </row>
    <row r="8" spans="1:15" x14ac:dyDescent="0.25">
      <c r="G8" s="12" t="s">
        <v>18</v>
      </c>
      <c r="H8" s="2" t="s">
        <v>8</v>
      </c>
      <c r="I8" s="14">
        <f>I9*(I7+I10)</f>
        <v>171584259.65325671</v>
      </c>
      <c r="K8" s="32" t="s">
        <v>32</v>
      </c>
      <c r="L8" s="33">
        <f>F21</f>
        <v>17616.125607925009</v>
      </c>
      <c r="N8" t="s">
        <v>26</v>
      </c>
      <c r="O8" s="26">
        <f>C22</f>
        <v>16676.876270165358</v>
      </c>
    </row>
    <row r="9" spans="1:15" ht="15.75" thickBot="1" x14ac:dyDescent="0.3">
      <c r="G9" s="12" t="s">
        <v>19</v>
      </c>
      <c r="H9" s="2" t="s">
        <v>9</v>
      </c>
      <c r="I9" s="15">
        <v>7600</v>
      </c>
      <c r="K9" s="32" t="s">
        <v>35</v>
      </c>
      <c r="L9" s="33">
        <f>I10</f>
        <v>3900</v>
      </c>
      <c r="N9" t="s">
        <v>27</v>
      </c>
      <c r="O9" s="26">
        <f>I12</f>
        <v>209166.83095795402</v>
      </c>
    </row>
    <row r="10" spans="1:15" ht="15.75" thickBot="1" x14ac:dyDescent="0.3">
      <c r="G10" s="12" t="s">
        <v>20</v>
      </c>
      <c r="H10" s="20" t="s">
        <v>10</v>
      </c>
      <c r="I10" s="21">
        <v>3900</v>
      </c>
      <c r="K10" s="32" t="s">
        <v>36</v>
      </c>
      <c r="L10" s="33">
        <f>I12</f>
        <v>209166.83095795402</v>
      </c>
      <c r="N10" s="19" t="s">
        <v>25</v>
      </c>
      <c r="O10" s="27">
        <f>SUM(O7:O9)</f>
        <v>227843.70722811937</v>
      </c>
    </row>
    <row r="11" spans="1:15" x14ac:dyDescent="0.25">
      <c r="G11" s="12"/>
      <c r="H11" s="2" t="s">
        <v>12</v>
      </c>
      <c r="I11" s="15">
        <v>348</v>
      </c>
      <c r="K11" s="32" t="s">
        <v>34</v>
      </c>
      <c r="L11" s="33">
        <f>C19</f>
        <v>1887.5654643652115</v>
      </c>
      <c r="O11" s="12"/>
    </row>
    <row r="12" spans="1:15" ht="15.75" thickBot="1" x14ac:dyDescent="0.3">
      <c r="G12" s="12"/>
      <c r="H12" s="1" t="s">
        <v>13</v>
      </c>
      <c r="I12" s="16">
        <f>(I7+I10)*EXP(I9/(I11*9.81))</f>
        <v>209166.83095795402</v>
      </c>
      <c r="K12" s="34" t="s">
        <v>26</v>
      </c>
      <c r="L12" s="16">
        <f>C22</f>
        <v>16676.876270165358</v>
      </c>
    </row>
    <row r="13" spans="1:15" ht="15.75" thickBot="1" x14ac:dyDescent="0.3">
      <c r="G13" s="12"/>
      <c r="H13" s="13" t="s">
        <v>15</v>
      </c>
      <c r="I13" s="17">
        <f>I12+I7+I10</f>
        <v>231743.70722811937</v>
      </c>
      <c r="K13" s="19" t="s">
        <v>30</v>
      </c>
      <c r="L13" s="30">
        <f>SUM(L7:L12)</f>
        <v>253147.39830040958</v>
      </c>
    </row>
    <row r="14" spans="1:15" ht="15.75" thickBot="1" x14ac:dyDescent="0.3">
      <c r="G14" s="12"/>
    </row>
    <row r="15" spans="1:15" ht="15.75" thickBot="1" x14ac:dyDescent="0.3">
      <c r="B15" s="105" t="s">
        <v>52</v>
      </c>
      <c r="C15" s="106"/>
      <c r="E15" s="118" t="s">
        <v>16</v>
      </c>
      <c r="F15" s="119"/>
      <c r="G15" s="12"/>
      <c r="H15" s="103" t="s">
        <v>17</v>
      </c>
      <c r="I15" s="104"/>
      <c r="K15" s="103" t="s">
        <v>29</v>
      </c>
      <c r="L15" s="104"/>
      <c r="N15" s="103" t="s">
        <v>28</v>
      </c>
      <c r="O15" s="104"/>
    </row>
    <row r="16" spans="1:15" x14ac:dyDescent="0.25">
      <c r="B16" s="3" t="s">
        <v>0</v>
      </c>
      <c r="C16" s="7">
        <v>2000</v>
      </c>
      <c r="E16" s="22" t="s">
        <v>7</v>
      </c>
      <c r="F16" s="23">
        <f>C19</f>
        <v>1887.5654643652115</v>
      </c>
      <c r="G16" s="12"/>
      <c r="H16" s="24" t="s">
        <v>7</v>
      </c>
      <c r="I16" s="25">
        <f>C16</f>
        <v>2000</v>
      </c>
      <c r="K16" s="18" t="s">
        <v>31</v>
      </c>
      <c r="L16" s="31">
        <f>F19</f>
        <v>3900</v>
      </c>
      <c r="N16" t="s">
        <v>24</v>
      </c>
      <c r="O16" s="26">
        <f>I16</f>
        <v>2000</v>
      </c>
    </row>
    <row r="17" spans="2:24" x14ac:dyDescent="0.25">
      <c r="B17" s="4" t="s">
        <v>47</v>
      </c>
      <c r="C17" s="8">
        <v>367.29</v>
      </c>
      <c r="E17" s="2" t="s">
        <v>8</v>
      </c>
      <c r="F17" s="14">
        <f>348000000000</f>
        <v>348000000000</v>
      </c>
      <c r="G17" s="12" t="s">
        <v>19</v>
      </c>
      <c r="H17" s="2" t="s">
        <v>8</v>
      </c>
      <c r="I17" s="14">
        <f>348000000000</f>
        <v>348000000000</v>
      </c>
      <c r="K17" s="32" t="s">
        <v>27</v>
      </c>
      <c r="L17" s="33">
        <f>F21</f>
        <v>17616.125607925009</v>
      </c>
      <c r="N17" t="s">
        <v>26</v>
      </c>
      <c r="O17" s="26">
        <f>0</f>
        <v>0</v>
      </c>
    </row>
    <row r="18" spans="2:24" ht="15.75" thickBot="1" x14ac:dyDescent="0.3">
      <c r="B18" s="5" t="s">
        <v>6</v>
      </c>
      <c r="C18" s="9">
        <v>-904.17</v>
      </c>
      <c r="E18" s="2" t="s">
        <v>9</v>
      </c>
      <c r="F18" s="15">
        <v>3800</v>
      </c>
      <c r="G18" s="12" t="s">
        <v>20</v>
      </c>
      <c r="H18" s="2" t="s">
        <v>9</v>
      </c>
      <c r="I18" s="15">
        <v>3800</v>
      </c>
      <c r="K18" s="32" t="s">
        <v>35</v>
      </c>
      <c r="L18" s="33">
        <f>I19</f>
        <v>3900</v>
      </c>
      <c r="N18" t="s">
        <v>27</v>
      </c>
      <c r="O18" s="26">
        <f>I21</f>
        <v>17958.352562351069</v>
      </c>
    </row>
    <row r="19" spans="2:24" ht="15.75" thickBot="1" x14ac:dyDescent="0.3">
      <c r="B19" s="43" t="s">
        <v>1</v>
      </c>
      <c r="C19" s="44">
        <f>C17*LN(C16)+C18</f>
        <v>1887.5654643652115</v>
      </c>
      <c r="E19" s="20" t="s">
        <v>10</v>
      </c>
      <c r="F19" s="21">
        <v>3900</v>
      </c>
      <c r="G19" s="12" t="s">
        <v>21</v>
      </c>
      <c r="H19" s="20" t="s">
        <v>10</v>
      </c>
      <c r="I19" s="21">
        <v>3900</v>
      </c>
      <c r="K19" s="32" t="s">
        <v>36</v>
      </c>
      <c r="L19" s="33">
        <f>I21</f>
        <v>17958.352562351069</v>
      </c>
      <c r="N19" s="19" t="s">
        <v>25</v>
      </c>
      <c r="O19" s="27">
        <f>SUM(O16:O18)</f>
        <v>19958.352562351069</v>
      </c>
    </row>
    <row r="20" spans="2:24" x14ac:dyDescent="0.25">
      <c r="B20" s="4" t="s">
        <v>4</v>
      </c>
      <c r="C20" s="10">
        <v>350</v>
      </c>
      <c r="E20" s="2" t="s">
        <v>12</v>
      </c>
      <c r="F20" s="15">
        <v>348</v>
      </c>
      <c r="G20" s="12"/>
      <c r="H20" s="2" t="s">
        <v>12</v>
      </c>
      <c r="I20" s="15">
        <v>348</v>
      </c>
      <c r="K20" s="32" t="s">
        <v>34</v>
      </c>
      <c r="L20" s="33">
        <f>C19</f>
        <v>1887.5654643652115</v>
      </c>
    </row>
    <row r="21" spans="2:24" ht="15.75" thickBot="1" x14ac:dyDescent="0.3">
      <c r="B21" s="4" t="s">
        <v>5</v>
      </c>
      <c r="C21" s="10">
        <v>5000</v>
      </c>
      <c r="E21" s="1" t="s">
        <v>13</v>
      </c>
      <c r="F21" s="16">
        <f>(F16+F19)*EXP(F18/(F20*9.81))</f>
        <v>17616.125607925009</v>
      </c>
      <c r="G21" s="12"/>
      <c r="H21" s="1" t="s">
        <v>13</v>
      </c>
      <c r="I21" s="16">
        <f>(I16+I19)*EXP(I18/(I20*9.81))</f>
        <v>17958.352562351069</v>
      </c>
      <c r="K21" s="34" t="s">
        <v>26</v>
      </c>
      <c r="L21" s="16">
        <v>0</v>
      </c>
    </row>
    <row r="22" spans="2:24" ht="15.75" thickBot="1" x14ac:dyDescent="0.3">
      <c r="B22" s="45" t="s">
        <v>2</v>
      </c>
      <c r="C22" s="46">
        <f>(C16+C19)*EXP(C21/(C20*9.81))</f>
        <v>16676.876270165358</v>
      </c>
      <c r="E22" s="13" t="s">
        <v>14</v>
      </c>
      <c r="F22" s="17">
        <f>F21+F16+F19</f>
        <v>23403.691072290221</v>
      </c>
      <c r="G22" s="12"/>
      <c r="H22" s="13" t="s">
        <v>15</v>
      </c>
      <c r="I22" s="17">
        <f>I21+I16+I19</f>
        <v>23858.352562351069</v>
      </c>
      <c r="K22" s="19" t="s">
        <v>30</v>
      </c>
      <c r="L22" s="30">
        <f>SUM(L16:L21)</f>
        <v>45262.04363464129</v>
      </c>
    </row>
    <row r="23" spans="2:24" ht="15.75" thickBot="1" x14ac:dyDescent="0.3">
      <c r="B23" s="6" t="s">
        <v>3</v>
      </c>
      <c r="C23" s="11">
        <f>C22+C19+C16</f>
        <v>20564.44173453057</v>
      </c>
      <c r="G23" s="12"/>
    </row>
    <row r="24" spans="2:24" ht="15.75" thickBot="1" x14ac:dyDescent="0.3">
      <c r="G24" s="12"/>
    </row>
    <row r="25" spans="2:24" ht="15.75" thickBot="1" x14ac:dyDescent="0.3">
      <c r="G25" s="12"/>
      <c r="H25" s="103" t="s">
        <v>17</v>
      </c>
      <c r="I25" s="104"/>
      <c r="K25" s="103" t="s">
        <v>29</v>
      </c>
      <c r="L25" s="104"/>
      <c r="N25" s="103" t="s">
        <v>28</v>
      </c>
      <c r="O25" s="104"/>
    </row>
    <row r="26" spans="2:24" ht="15.75" thickBot="1" x14ac:dyDescent="0.3">
      <c r="G26" s="12"/>
      <c r="H26" s="24" t="s">
        <v>7</v>
      </c>
      <c r="I26" s="25">
        <f>C16+C22</f>
        <v>18676.876270165358</v>
      </c>
      <c r="K26" s="18" t="s">
        <v>31</v>
      </c>
      <c r="L26" s="31">
        <f>F19</f>
        <v>3900</v>
      </c>
      <c r="N26" t="s">
        <v>24</v>
      </c>
      <c r="O26" s="26">
        <f>C16</f>
        <v>2000</v>
      </c>
    </row>
    <row r="27" spans="2:24" ht="15.75" thickBot="1" x14ac:dyDescent="0.3">
      <c r="G27" s="12" t="s">
        <v>22</v>
      </c>
      <c r="H27" s="2" t="s">
        <v>8</v>
      </c>
      <c r="I27" s="14">
        <f>348000000000</f>
        <v>348000000000</v>
      </c>
      <c r="K27" s="32" t="s">
        <v>32</v>
      </c>
      <c r="L27" s="33">
        <v>0</v>
      </c>
      <c r="N27" t="s">
        <v>26</v>
      </c>
      <c r="O27" s="26">
        <f>0</f>
        <v>0</v>
      </c>
      <c r="V27" s="117" t="s">
        <v>97</v>
      </c>
      <c r="W27" s="117"/>
      <c r="X27" s="117"/>
    </row>
    <row r="28" spans="2:24" ht="15.75" thickBot="1" x14ac:dyDescent="0.3">
      <c r="G28" s="12" t="s">
        <v>20</v>
      </c>
      <c r="H28" s="2" t="s">
        <v>9</v>
      </c>
      <c r="I28" s="15">
        <v>7600</v>
      </c>
      <c r="K28" s="32" t="s">
        <v>35</v>
      </c>
      <c r="L28" s="33">
        <f>I29</f>
        <v>3900</v>
      </c>
      <c r="N28" t="s">
        <v>27</v>
      </c>
      <c r="O28" s="26">
        <f>0</f>
        <v>0</v>
      </c>
      <c r="V28" s="76" t="s">
        <v>72</v>
      </c>
      <c r="W28" s="76" t="s">
        <v>73</v>
      </c>
      <c r="X28" s="76" t="s">
        <v>74</v>
      </c>
    </row>
    <row r="29" spans="2:24" ht="19.5" thickBot="1" x14ac:dyDescent="0.4">
      <c r="G29" s="12" t="s">
        <v>23</v>
      </c>
      <c r="H29" s="20" t="s">
        <v>10</v>
      </c>
      <c r="I29" s="21">
        <v>3900</v>
      </c>
      <c r="K29" s="32" t="s">
        <v>36</v>
      </c>
      <c r="L29" s="33">
        <v>0</v>
      </c>
      <c r="N29" s="19" t="s">
        <v>25</v>
      </c>
      <c r="O29" s="27">
        <f>SUM(O26:O28)</f>
        <v>2000</v>
      </c>
      <c r="V29" s="77" t="s">
        <v>81</v>
      </c>
      <c r="W29" s="78">
        <v>2000</v>
      </c>
      <c r="X29" s="79"/>
    </row>
    <row r="30" spans="2:24" ht="18.75" x14ac:dyDescent="0.35">
      <c r="G30" s="12"/>
      <c r="H30" s="2" t="s">
        <v>12</v>
      </c>
      <c r="I30" s="15">
        <v>348</v>
      </c>
      <c r="K30" s="32" t="s">
        <v>34</v>
      </c>
      <c r="L30" s="33">
        <f>C19</f>
        <v>1887.5654643652115</v>
      </c>
      <c r="N30" s="28"/>
      <c r="O30" s="29"/>
      <c r="V30" s="80" t="s">
        <v>82</v>
      </c>
      <c r="W30" s="81">
        <v>350</v>
      </c>
      <c r="X30" s="82"/>
    </row>
    <row r="31" spans="2:24" ht="16.5" thickBot="1" x14ac:dyDescent="0.3">
      <c r="G31" s="12"/>
      <c r="H31" s="1" t="s">
        <v>13</v>
      </c>
      <c r="I31" s="16">
        <f>(I26+I29)*EXP(I28/(I30*9.81))</f>
        <v>209166.83095795402</v>
      </c>
      <c r="K31" s="34" t="s">
        <v>26</v>
      </c>
      <c r="L31" s="16">
        <v>0</v>
      </c>
      <c r="V31" s="83" t="s">
        <v>75</v>
      </c>
      <c r="W31" s="81">
        <v>5000</v>
      </c>
      <c r="X31" s="82"/>
    </row>
    <row r="32" spans="2:24" ht="16.5" thickBot="1" x14ac:dyDescent="0.3">
      <c r="G32" s="12"/>
      <c r="H32" s="13" t="s">
        <v>15</v>
      </c>
      <c r="I32" s="17">
        <f>I31+I26+I29</f>
        <v>231743.70722811937</v>
      </c>
      <c r="K32" s="19" t="s">
        <v>30</v>
      </c>
      <c r="L32" s="30">
        <f>SUM(L26:L31)</f>
        <v>9687.5654643652124</v>
      </c>
      <c r="V32" s="83" t="s">
        <v>67</v>
      </c>
      <c r="W32" s="84">
        <v>367.29</v>
      </c>
      <c r="X32" s="82" t="s">
        <v>71</v>
      </c>
    </row>
    <row r="33" spans="1:24" ht="16.5" thickBot="1" x14ac:dyDescent="0.3">
      <c r="G33" s="12"/>
      <c r="V33" s="85" t="s">
        <v>68</v>
      </c>
      <c r="W33" s="86">
        <v>-904.17</v>
      </c>
      <c r="X33" s="87" t="s">
        <v>71</v>
      </c>
    </row>
    <row r="34" spans="1:24" ht="19.5" thickBot="1" x14ac:dyDescent="0.4">
      <c r="V34" s="88" t="s">
        <v>83</v>
      </c>
      <c r="W34" s="89">
        <v>1887.5654643652115</v>
      </c>
      <c r="X34" s="90" t="s">
        <v>84</v>
      </c>
    </row>
    <row r="35" spans="1:24" ht="19.5" thickBot="1" x14ac:dyDescent="0.4">
      <c r="B35" s="103" t="s">
        <v>37</v>
      </c>
      <c r="C35" s="112"/>
      <c r="D35" s="112"/>
      <c r="E35" s="104"/>
      <c r="V35" s="91" t="s">
        <v>85</v>
      </c>
      <c r="W35" s="92">
        <v>16676.876270165358</v>
      </c>
      <c r="X35" s="93" t="s">
        <v>70</v>
      </c>
    </row>
    <row r="36" spans="1:24" ht="19.5" thickBot="1" x14ac:dyDescent="0.4">
      <c r="A36" t="s">
        <v>48</v>
      </c>
      <c r="B36" s="113" t="s">
        <v>38</v>
      </c>
      <c r="C36" s="114"/>
      <c r="D36" s="114" t="s">
        <v>39</v>
      </c>
      <c r="E36" s="115"/>
      <c r="F36" t="s">
        <v>48</v>
      </c>
      <c r="T36" s="75"/>
      <c r="V36" s="94" t="s">
        <v>86</v>
      </c>
      <c r="W36" s="95">
        <v>20564.44173453057</v>
      </c>
      <c r="X36" s="96" t="s">
        <v>87</v>
      </c>
    </row>
    <row r="37" spans="1:24" ht="15.75" thickBot="1" x14ac:dyDescent="0.3">
      <c r="B37" s="37" t="s">
        <v>50</v>
      </c>
      <c r="C37" s="26">
        <f>C16</f>
        <v>2000</v>
      </c>
      <c r="D37" s="37" t="s">
        <v>50</v>
      </c>
      <c r="E37" s="26">
        <f>C16</f>
        <v>2000</v>
      </c>
      <c r="V37" s="117" t="s">
        <v>78</v>
      </c>
      <c r="W37" s="117"/>
      <c r="X37" s="117"/>
    </row>
    <row r="38" spans="1:24" ht="15.75" thickBot="1" x14ac:dyDescent="0.3">
      <c r="B38" s="35" t="s">
        <v>40</v>
      </c>
      <c r="C38" s="36">
        <f>C19</f>
        <v>1887.5654643652115</v>
      </c>
      <c r="D38" s="35" t="s">
        <v>40</v>
      </c>
      <c r="E38" s="40">
        <f>C19</f>
        <v>1887.5654643652115</v>
      </c>
      <c r="V38" s="76" t="s">
        <v>72</v>
      </c>
      <c r="W38" s="76" t="s">
        <v>73</v>
      </c>
      <c r="X38" s="76" t="s">
        <v>74</v>
      </c>
    </row>
    <row r="39" spans="1:24" ht="18.75" x14ac:dyDescent="0.35">
      <c r="A39">
        <v>0.27600000000000002</v>
      </c>
      <c r="B39" s="37" t="s">
        <v>41</v>
      </c>
      <c r="C39" s="26">
        <f>$C$38*A39</f>
        <v>520.96806816479841</v>
      </c>
      <c r="D39" s="37" t="s">
        <v>49</v>
      </c>
      <c r="E39" s="41">
        <f>(F39*((E38+C16)/1000)^G39)+(H39*((E38+C16)/1000)^I39)+J39</f>
        <v>1454.7066188169581</v>
      </c>
      <c r="F39">
        <v>1.325</v>
      </c>
      <c r="G39">
        <v>2.863</v>
      </c>
      <c r="H39">
        <f>0.00005651</f>
        <v>5.6509999999999999E-5</v>
      </c>
      <c r="I39">
        <v>5.2690000000000001</v>
      </c>
      <c r="J39">
        <v>1390</v>
      </c>
      <c r="Q39" t="s">
        <v>17</v>
      </c>
      <c r="V39" s="77" t="s">
        <v>88</v>
      </c>
      <c r="W39" s="78">
        <v>2000</v>
      </c>
      <c r="X39" s="79"/>
    </row>
    <row r="40" spans="1:24" ht="18.75" x14ac:dyDescent="0.35">
      <c r="A40">
        <v>0.33700000000000002</v>
      </c>
      <c r="B40" s="37" t="s">
        <v>42</v>
      </c>
      <c r="C40" s="26">
        <f t="shared" ref="C40:C44" si="0">$C$38*A40</f>
        <v>636.10956149107631</v>
      </c>
      <c r="D40" s="37" t="s">
        <v>42</v>
      </c>
      <c r="E40" s="41">
        <f>(F40*((E38+C16)/1000)^G40)-H40*((E38+C16)/1000)^I40</f>
        <v>111.91761866321352</v>
      </c>
      <c r="F40">
        <v>2.702</v>
      </c>
      <c r="G40">
        <v>2.7850000000000001</v>
      </c>
      <c r="H40">
        <v>1.813E-2</v>
      </c>
      <c r="I40">
        <v>4.3479999999999999</v>
      </c>
      <c r="Q40" t="s">
        <v>7</v>
      </c>
      <c r="R40">
        <v>2000</v>
      </c>
      <c r="V40" s="80" t="s">
        <v>76</v>
      </c>
      <c r="W40" s="97">
        <f>W41*(W39+W43)</f>
        <v>24852000</v>
      </c>
      <c r="X40" s="98" t="s">
        <v>89</v>
      </c>
    </row>
    <row r="41" spans="1:24" ht="15.75" x14ac:dyDescent="0.25">
      <c r="A41">
        <v>7.5999999999999998E-2</v>
      </c>
      <c r="B41" s="37" t="s">
        <v>43</v>
      </c>
      <c r="C41" s="26">
        <f t="shared" si="0"/>
        <v>143.45497529175606</v>
      </c>
      <c r="D41" s="37" t="s">
        <v>43</v>
      </c>
      <c r="E41" s="41"/>
      <c r="Q41" t="s">
        <v>8</v>
      </c>
      <c r="R41">
        <v>348000000000</v>
      </c>
      <c r="V41" s="83" t="s">
        <v>69</v>
      </c>
      <c r="W41" s="81">
        <v>3800</v>
      </c>
      <c r="X41" s="82"/>
    </row>
    <row r="42" spans="1:24" ht="18.75" x14ac:dyDescent="0.35">
      <c r="A42">
        <v>8.7999999999999995E-2</v>
      </c>
      <c r="B42" s="37" t="s">
        <v>44</v>
      </c>
      <c r="C42" s="26">
        <f t="shared" si="0"/>
        <v>166.1057608641386</v>
      </c>
      <c r="D42" s="37" t="s">
        <v>44</v>
      </c>
      <c r="E42" s="41"/>
      <c r="Q42" t="s">
        <v>9</v>
      </c>
      <c r="R42">
        <v>3800</v>
      </c>
      <c r="V42" s="80" t="s">
        <v>90</v>
      </c>
      <c r="W42" s="81">
        <v>348</v>
      </c>
      <c r="X42" s="82"/>
    </row>
    <row r="43" spans="1:24" ht="18.75" x14ac:dyDescent="0.35">
      <c r="A43">
        <v>0.13</v>
      </c>
      <c r="B43" s="37" t="s">
        <v>45</v>
      </c>
      <c r="C43" s="26">
        <f t="shared" si="0"/>
        <v>245.3835103674775</v>
      </c>
      <c r="D43" s="37"/>
      <c r="E43" s="41"/>
      <c r="Q43" t="s">
        <v>10</v>
      </c>
      <c r="R43">
        <v>3900</v>
      </c>
      <c r="V43" s="80" t="s">
        <v>91</v>
      </c>
      <c r="W43" s="81">
        <v>4540</v>
      </c>
      <c r="X43" s="98" t="s">
        <v>77</v>
      </c>
    </row>
    <row r="44" spans="1:24" ht="19.5" thickBot="1" x14ac:dyDescent="0.4">
      <c r="A44">
        <v>9.4E-2</v>
      </c>
      <c r="B44" s="38" t="s">
        <v>46</v>
      </c>
      <c r="C44" s="39">
        <f t="shared" si="0"/>
        <v>177.43115365032989</v>
      </c>
      <c r="D44" s="38" t="s">
        <v>46</v>
      </c>
      <c r="E44" s="39"/>
      <c r="Q44" t="s">
        <v>12</v>
      </c>
      <c r="R44">
        <v>348</v>
      </c>
      <c r="V44" s="91" t="s">
        <v>92</v>
      </c>
      <c r="W44" s="92">
        <v>17958</v>
      </c>
      <c r="X44" s="93" t="s">
        <v>70</v>
      </c>
    </row>
    <row r="45" spans="1:24" ht="19.5" thickBot="1" x14ac:dyDescent="0.4">
      <c r="B45" s="42" t="s">
        <v>51</v>
      </c>
      <c r="C45" s="27">
        <f>C22</f>
        <v>16676.876270165358</v>
      </c>
      <c r="D45" s="12" t="s">
        <v>51</v>
      </c>
      <c r="Q45" t="s">
        <v>13</v>
      </c>
      <c r="R45" s="74">
        <v>17958.352562351069</v>
      </c>
      <c r="V45" s="99" t="s">
        <v>93</v>
      </c>
      <c r="W45" s="95">
        <v>23858</v>
      </c>
      <c r="X45" s="96" t="s">
        <v>87</v>
      </c>
    </row>
    <row r="46" spans="1:24" ht="15.75" thickBot="1" x14ac:dyDescent="0.3">
      <c r="B46" s="12"/>
      <c r="C46" s="12"/>
      <c r="D46" s="12"/>
      <c r="Q46" t="s">
        <v>15</v>
      </c>
      <c r="R46" s="74">
        <v>23858.352562351069</v>
      </c>
      <c r="V46" s="105" t="s">
        <v>79</v>
      </c>
      <c r="W46" s="116"/>
      <c r="X46" s="106"/>
    </row>
    <row r="47" spans="1:24" ht="15.75" thickBot="1" x14ac:dyDescent="0.3">
      <c r="V47" s="76" t="s">
        <v>72</v>
      </c>
      <c r="W47" s="76" t="s">
        <v>73</v>
      </c>
      <c r="X47" s="76" t="s">
        <v>74</v>
      </c>
    </row>
    <row r="48" spans="1:24" ht="18.75" x14ac:dyDescent="0.35">
      <c r="V48" s="77" t="s">
        <v>94</v>
      </c>
      <c r="W48" s="78">
        <v>2000</v>
      </c>
      <c r="X48" s="79" t="s">
        <v>80</v>
      </c>
    </row>
    <row r="49" spans="22:24" ht="18.75" x14ac:dyDescent="0.35">
      <c r="V49" s="80" t="s">
        <v>95</v>
      </c>
      <c r="W49" s="81">
        <v>17958.352562351069</v>
      </c>
      <c r="X49" s="100"/>
    </row>
    <row r="50" spans="22:24" ht="19.5" thickBot="1" x14ac:dyDescent="0.4">
      <c r="V50" s="99" t="s">
        <v>96</v>
      </c>
      <c r="W50" s="95">
        <v>19958.352562351069</v>
      </c>
      <c r="X50" s="102"/>
    </row>
    <row r="51" spans="22:24" ht="15.75" x14ac:dyDescent="0.25">
      <c r="V51" s="101"/>
      <c r="W51" s="101"/>
      <c r="X51" s="101"/>
    </row>
  </sheetData>
  <mergeCells count="17">
    <mergeCell ref="H6:I6"/>
    <mergeCell ref="K6:L6"/>
    <mergeCell ref="N6:O6"/>
    <mergeCell ref="H15:I15"/>
    <mergeCell ref="K15:L15"/>
    <mergeCell ref="N15:O15"/>
    <mergeCell ref="B35:E35"/>
    <mergeCell ref="B36:C36"/>
    <mergeCell ref="D36:E36"/>
    <mergeCell ref="B15:C15"/>
    <mergeCell ref="E15:F15"/>
    <mergeCell ref="V46:X46"/>
    <mergeCell ref="V37:X37"/>
    <mergeCell ref="V27:X27"/>
    <mergeCell ref="H25:I25"/>
    <mergeCell ref="K25:L25"/>
    <mergeCell ref="N25:O25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A5B89-7A7A-419F-8FEF-A85BE0246165}">
  <dimension ref="A2:R46"/>
  <sheetViews>
    <sheetView zoomScale="65" zoomScaleNormal="40" workbookViewId="0">
      <selection activeCell="W39" sqref="W39"/>
    </sheetView>
  </sheetViews>
  <sheetFormatPr baseColWidth="10" defaultRowHeight="15" x14ac:dyDescent="0.25"/>
  <cols>
    <col min="8" max="8" width="14.42578125" customWidth="1"/>
    <col min="9" max="9" width="14.7109375" customWidth="1"/>
    <col min="11" max="11" width="16.140625" customWidth="1"/>
    <col min="12" max="12" width="15" customWidth="1"/>
  </cols>
  <sheetData>
    <row r="2" spans="1:18" x14ac:dyDescent="0.25">
      <c r="A2" t="s">
        <v>11</v>
      </c>
    </row>
    <row r="5" spans="1:18" ht="15.75" thickBot="1" x14ac:dyDescent="0.3"/>
    <row r="6" spans="1:18" ht="15.75" thickBot="1" x14ac:dyDescent="0.3">
      <c r="H6" s="103" t="s">
        <v>61</v>
      </c>
      <c r="I6" s="104"/>
      <c r="K6" s="103" t="s">
        <v>62</v>
      </c>
      <c r="L6" s="104"/>
      <c r="N6" s="103" t="s">
        <v>29</v>
      </c>
      <c r="O6" s="104"/>
      <c r="Q6" s="103" t="s">
        <v>28</v>
      </c>
      <c r="R6" s="104"/>
    </row>
    <row r="7" spans="1:18" x14ac:dyDescent="0.25">
      <c r="H7" s="24" t="s">
        <v>7</v>
      </c>
      <c r="I7" s="25">
        <f>C16+C22</f>
        <v>14463.13526051995</v>
      </c>
      <c r="K7" s="24" t="s">
        <v>7</v>
      </c>
      <c r="L7" s="25">
        <f>F16+F22</f>
        <v>25291.256536655434</v>
      </c>
      <c r="N7" s="18" t="s">
        <v>33</v>
      </c>
      <c r="O7" s="31">
        <f>F19</f>
        <v>3900</v>
      </c>
      <c r="Q7" t="s">
        <v>24</v>
      </c>
      <c r="R7" s="26">
        <f>C16</f>
        <v>2000</v>
      </c>
    </row>
    <row r="8" spans="1:18" x14ac:dyDescent="0.25">
      <c r="G8" s="12" t="s">
        <v>18</v>
      </c>
      <c r="H8" s="2" t="s">
        <v>8</v>
      </c>
      <c r="I8" s="14">
        <f>348000000000</f>
        <v>348000000000</v>
      </c>
      <c r="K8" s="2" t="s">
        <v>8</v>
      </c>
      <c r="L8" s="14">
        <f>348000000000</f>
        <v>348000000000</v>
      </c>
      <c r="N8" s="32" t="s">
        <v>32</v>
      </c>
      <c r="O8" s="33">
        <f>F21</f>
        <v>17616.125607925009</v>
      </c>
      <c r="Q8" t="s">
        <v>26</v>
      </c>
      <c r="R8" s="26">
        <f>C22</f>
        <v>12463.13526051995</v>
      </c>
    </row>
    <row r="9" spans="1:18" ht="15.75" thickBot="1" x14ac:dyDescent="0.3">
      <c r="G9" s="12" t="s">
        <v>19</v>
      </c>
      <c r="H9" s="2" t="s">
        <v>9</v>
      </c>
      <c r="I9" s="15">
        <v>3800</v>
      </c>
      <c r="K9" s="2" t="s">
        <v>9</v>
      </c>
      <c r="L9" s="15">
        <v>640</v>
      </c>
      <c r="N9" s="32" t="s">
        <v>35</v>
      </c>
      <c r="O9" s="33">
        <f>I10</f>
        <v>3900</v>
      </c>
      <c r="Q9" t="s">
        <v>27</v>
      </c>
      <c r="R9" s="26">
        <f>I12</f>
        <v>55893.50121331487</v>
      </c>
    </row>
    <row r="10" spans="1:18" ht="15.75" thickBot="1" x14ac:dyDescent="0.3">
      <c r="G10" s="12" t="s">
        <v>20</v>
      </c>
      <c r="H10" s="20" t="s">
        <v>10</v>
      </c>
      <c r="I10" s="21">
        <v>3900</v>
      </c>
      <c r="K10" s="20" t="s">
        <v>10</v>
      </c>
      <c r="L10" s="21">
        <v>3900</v>
      </c>
      <c r="N10" s="32" t="s">
        <v>36</v>
      </c>
      <c r="O10" s="33">
        <f>I12</f>
        <v>55893.50121331487</v>
      </c>
      <c r="Q10" s="19" t="s">
        <v>25</v>
      </c>
      <c r="R10" s="27">
        <f>SUM(R7:R9)</f>
        <v>70356.63647383482</v>
      </c>
    </row>
    <row r="11" spans="1:18" x14ac:dyDescent="0.25">
      <c r="G11" s="12"/>
      <c r="H11" s="2" t="s">
        <v>12</v>
      </c>
      <c r="I11" s="15">
        <v>348</v>
      </c>
      <c r="K11" s="2" t="s">
        <v>12</v>
      </c>
      <c r="L11" s="15">
        <v>348</v>
      </c>
      <c r="N11" s="32" t="s">
        <v>34</v>
      </c>
      <c r="O11" s="33">
        <f>C19</f>
        <v>1887.5654643652115</v>
      </c>
      <c r="R11" s="12"/>
    </row>
    <row r="12" spans="1:18" ht="15.75" thickBot="1" x14ac:dyDescent="0.3">
      <c r="G12" s="12"/>
      <c r="H12" s="1" t="s">
        <v>13</v>
      </c>
      <c r="I12" s="16">
        <f>(I7+I10)*EXP(I9/(I11*9.81))</f>
        <v>55893.50121331487</v>
      </c>
      <c r="K12" s="1" t="s">
        <v>13</v>
      </c>
      <c r="L12" s="16">
        <f>(L7+L10)*EXP(L9/(L11*9.81))</f>
        <v>35210.319465427419</v>
      </c>
      <c r="N12" s="34" t="s">
        <v>26</v>
      </c>
      <c r="O12" s="16">
        <f>C22</f>
        <v>12463.13526051995</v>
      </c>
    </row>
    <row r="13" spans="1:18" ht="15.75" thickBot="1" x14ac:dyDescent="0.3">
      <c r="G13" s="12"/>
      <c r="H13" s="13" t="s">
        <v>15</v>
      </c>
      <c r="I13" s="17">
        <f>I12+I7+I10</f>
        <v>74256.63647383482</v>
      </c>
      <c r="K13" s="13" t="s">
        <v>15</v>
      </c>
      <c r="L13" s="17">
        <f>L12+L7+L10</f>
        <v>64401.576002082853</v>
      </c>
      <c r="N13" s="19" t="s">
        <v>30</v>
      </c>
      <c r="O13" s="30">
        <f>SUM(O7:O12)</f>
        <v>95660.327546125045</v>
      </c>
    </row>
    <row r="14" spans="1:18" ht="15.75" thickBot="1" x14ac:dyDescent="0.3">
      <c r="G14" s="12"/>
    </row>
    <row r="15" spans="1:18" ht="15.75" thickBot="1" x14ac:dyDescent="0.3">
      <c r="B15" s="105" t="s">
        <v>60</v>
      </c>
      <c r="C15" s="106"/>
      <c r="E15" s="118" t="s">
        <v>16</v>
      </c>
      <c r="F15" s="119"/>
      <c r="G15" s="12"/>
      <c r="H15" s="103" t="s">
        <v>61</v>
      </c>
      <c r="I15" s="104"/>
      <c r="K15" s="103" t="s">
        <v>62</v>
      </c>
      <c r="L15" s="104"/>
      <c r="N15" s="103" t="s">
        <v>29</v>
      </c>
      <c r="O15" s="104"/>
      <c r="Q15" s="103" t="s">
        <v>28</v>
      </c>
      <c r="R15" s="104"/>
    </row>
    <row r="16" spans="1:18" x14ac:dyDescent="0.25">
      <c r="B16" s="3" t="s">
        <v>0</v>
      </c>
      <c r="C16" s="7">
        <v>2000</v>
      </c>
      <c r="E16" s="22" t="s">
        <v>7</v>
      </c>
      <c r="F16" s="23">
        <f>C19</f>
        <v>1887.5654643652115</v>
      </c>
      <c r="G16" s="12"/>
      <c r="H16" s="24" t="s">
        <v>7</v>
      </c>
      <c r="I16" s="25">
        <f>C16</f>
        <v>2000</v>
      </c>
      <c r="K16" s="24" t="s">
        <v>63</v>
      </c>
      <c r="L16" s="25">
        <f>I16+C22</f>
        <v>14463.13526051995</v>
      </c>
      <c r="N16" s="18" t="s">
        <v>64</v>
      </c>
      <c r="O16" s="31">
        <f>F19</f>
        <v>3900</v>
      </c>
      <c r="Q16" t="s">
        <v>24</v>
      </c>
      <c r="R16" s="26">
        <f>I16</f>
        <v>2000</v>
      </c>
    </row>
    <row r="17" spans="2:18" x14ac:dyDescent="0.25">
      <c r="B17" s="4" t="s">
        <v>47</v>
      </c>
      <c r="C17" s="8">
        <v>367.29</v>
      </c>
      <c r="E17" s="2" t="s">
        <v>8</v>
      </c>
      <c r="F17" s="14">
        <f>348000000000</f>
        <v>348000000000</v>
      </c>
      <c r="G17" s="12" t="s">
        <v>19</v>
      </c>
      <c r="H17" s="2" t="s">
        <v>8</v>
      </c>
      <c r="I17" s="14">
        <f>348000000000</f>
        <v>348000000000</v>
      </c>
      <c r="K17" s="2" t="s">
        <v>8</v>
      </c>
      <c r="L17" s="14">
        <f>348000000000</f>
        <v>348000000000</v>
      </c>
      <c r="N17" s="32" t="s">
        <v>65</v>
      </c>
      <c r="O17" s="33"/>
      <c r="Q17" t="s">
        <v>26</v>
      </c>
      <c r="R17" s="26">
        <f>0</f>
        <v>0</v>
      </c>
    </row>
    <row r="18" spans="2:18" ht="15.75" thickBot="1" x14ac:dyDescent="0.3">
      <c r="B18" s="5" t="s">
        <v>6</v>
      </c>
      <c r="C18" s="9">
        <v>-904.17</v>
      </c>
      <c r="E18" s="2" t="s">
        <v>9</v>
      </c>
      <c r="F18" s="15">
        <v>3800</v>
      </c>
      <c r="G18" s="12" t="s">
        <v>20</v>
      </c>
      <c r="H18" s="2" t="s">
        <v>9</v>
      </c>
      <c r="I18" s="15">
        <v>3800</v>
      </c>
      <c r="K18" s="2" t="s">
        <v>9</v>
      </c>
      <c r="L18" s="15">
        <v>640</v>
      </c>
      <c r="N18" s="32"/>
      <c r="O18" s="33">
        <f>I19</f>
        <v>3900</v>
      </c>
      <c r="Q18" t="s">
        <v>27</v>
      </c>
      <c r="R18" s="26">
        <f>I21</f>
        <v>17958.352562351069</v>
      </c>
    </row>
    <row r="19" spans="2:18" ht="15.75" thickBot="1" x14ac:dyDescent="0.3">
      <c r="B19" s="43" t="s">
        <v>1</v>
      </c>
      <c r="C19" s="44">
        <f>C17*LN(C16)+C18</f>
        <v>1887.5654643652115</v>
      </c>
      <c r="E19" s="20" t="s">
        <v>10</v>
      </c>
      <c r="F19" s="21">
        <v>3900</v>
      </c>
      <c r="G19" s="12" t="s">
        <v>21</v>
      </c>
      <c r="H19" s="20" t="s">
        <v>10</v>
      </c>
      <c r="I19" s="21">
        <v>3900</v>
      </c>
      <c r="K19" s="20" t="s">
        <v>10</v>
      </c>
      <c r="L19" s="21">
        <v>3900</v>
      </c>
      <c r="N19" s="32"/>
      <c r="O19" s="33">
        <f>I21</f>
        <v>17958.352562351069</v>
      </c>
      <c r="Q19" s="19" t="s">
        <v>25</v>
      </c>
      <c r="R19" s="27">
        <f>SUM(R16:R18)</f>
        <v>19958.352562351069</v>
      </c>
    </row>
    <row r="20" spans="2:18" x14ac:dyDescent="0.25">
      <c r="B20" s="4" t="s">
        <v>4</v>
      </c>
      <c r="C20" s="10">
        <v>350</v>
      </c>
      <c r="E20" s="2" t="s">
        <v>12</v>
      </c>
      <c r="F20" s="15">
        <v>348</v>
      </c>
      <c r="G20" s="12"/>
      <c r="H20" s="2" t="s">
        <v>12</v>
      </c>
      <c r="I20" s="15">
        <v>348</v>
      </c>
      <c r="K20" s="2" t="s">
        <v>12</v>
      </c>
      <c r="L20" s="15">
        <v>348</v>
      </c>
      <c r="N20" s="32" t="s">
        <v>34</v>
      </c>
      <c r="O20" s="33">
        <f>C19</f>
        <v>1887.5654643652115</v>
      </c>
    </row>
    <row r="21" spans="2:18" ht="15.75" thickBot="1" x14ac:dyDescent="0.3">
      <c r="B21" s="4" t="s">
        <v>5</v>
      </c>
      <c r="C21" s="10">
        <v>4000</v>
      </c>
      <c r="E21" s="1" t="s">
        <v>13</v>
      </c>
      <c r="F21" s="16">
        <f>(F16+F19)*EXP(F18/(F20*9.81))</f>
        <v>17616.125607925009</v>
      </c>
      <c r="G21" s="12"/>
      <c r="H21" s="1" t="s">
        <v>13</v>
      </c>
      <c r="I21" s="16">
        <f>(I16+I19)*EXP(I18/(I20*9.81))</f>
        <v>17958.352562351069</v>
      </c>
      <c r="K21" s="1" t="s">
        <v>13</v>
      </c>
      <c r="L21" s="16">
        <f>(L16+L19)*EXP(L18/(L20*9.81))</f>
        <v>22149.504187935949</v>
      </c>
      <c r="N21" s="34" t="s">
        <v>26</v>
      </c>
      <c r="O21" s="16">
        <v>0</v>
      </c>
    </row>
    <row r="22" spans="2:18" ht="15.75" thickBot="1" x14ac:dyDescent="0.3">
      <c r="B22" s="45" t="s">
        <v>2</v>
      </c>
      <c r="C22" s="46">
        <f>(C16+C19)*EXP(C21/(C20*9.81))</f>
        <v>12463.13526051995</v>
      </c>
      <c r="E22" s="13" t="s">
        <v>14</v>
      </c>
      <c r="F22" s="17">
        <f>F21+F16+F19</f>
        <v>23403.691072290221</v>
      </c>
      <c r="G22" s="12"/>
      <c r="H22" s="13" t="s">
        <v>15</v>
      </c>
      <c r="I22" s="17">
        <f>I21+I16+I19</f>
        <v>23858.352562351069</v>
      </c>
      <c r="K22" s="13" t="s">
        <v>15</v>
      </c>
      <c r="L22" s="17">
        <f>L21+L16+L19</f>
        <v>40512.639448455899</v>
      </c>
      <c r="N22" s="19" t="s">
        <v>30</v>
      </c>
      <c r="O22" s="30">
        <f>SUM(O16:O21)</f>
        <v>27645.918026716281</v>
      </c>
    </row>
    <row r="23" spans="2:18" ht="15.75" thickBot="1" x14ac:dyDescent="0.3">
      <c r="B23" s="6" t="s">
        <v>3</v>
      </c>
      <c r="C23" s="11">
        <f>C22+C19+C16</f>
        <v>16350.700724885162</v>
      </c>
      <c r="G23" s="12"/>
    </row>
    <row r="24" spans="2:18" ht="15.75" thickBot="1" x14ac:dyDescent="0.3">
      <c r="G24" s="12"/>
    </row>
    <row r="25" spans="2:18" ht="15.75" thickBot="1" x14ac:dyDescent="0.3">
      <c r="G25" s="12"/>
      <c r="H25" s="103" t="s">
        <v>61</v>
      </c>
      <c r="I25" s="104"/>
      <c r="K25" s="103" t="s">
        <v>62</v>
      </c>
      <c r="L25" s="104"/>
      <c r="N25" s="103" t="s">
        <v>29</v>
      </c>
      <c r="O25" s="104"/>
      <c r="Q25" s="103" t="s">
        <v>28</v>
      </c>
      <c r="R25" s="104"/>
    </row>
    <row r="26" spans="2:18" x14ac:dyDescent="0.25">
      <c r="G26" s="12"/>
      <c r="H26" s="24" t="s">
        <v>7</v>
      </c>
      <c r="I26" s="25">
        <f>C16+C22</f>
        <v>14463.13526051995</v>
      </c>
      <c r="K26" s="24" t="s">
        <v>7</v>
      </c>
      <c r="L26" s="25">
        <f>F16+F22</f>
        <v>25291.256536655434</v>
      </c>
      <c r="N26" s="18" t="s">
        <v>31</v>
      </c>
      <c r="O26" s="31">
        <f>F19</f>
        <v>3900</v>
      </c>
      <c r="Q26" t="s">
        <v>24</v>
      </c>
      <c r="R26" s="26">
        <f>C16</f>
        <v>2000</v>
      </c>
    </row>
    <row r="27" spans="2:18" x14ac:dyDescent="0.25">
      <c r="G27" s="12" t="s">
        <v>22</v>
      </c>
      <c r="H27" s="2" t="s">
        <v>8</v>
      </c>
      <c r="I27" s="14">
        <f>348000000000</f>
        <v>348000000000</v>
      </c>
      <c r="K27" s="2" t="s">
        <v>8</v>
      </c>
      <c r="L27" s="14">
        <f>348000000000</f>
        <v>348000000000</v>
      </c>
      <c r="N27" s="32" t="s">
        <v>32</v>
      </c>
      <c r="O27" s="33">
        <v>0</v>
      </c>
      <c r="Q27" t="s">
        <v>26</v>
      </c>
      <c r="R27" s="26">
        <f>0</f>
        <v>0</v>
      </c>
    </row>
    <row r="28" spans="2:18" ht="15.75" thickBot="1" x14ac:dyDescent="0.3">
      <c r="G28" s="12" t="s">
        <v>20</v>
      </c>
      <c r="H28" s="2" t="s">
        <v>9</v>
      </c>
      <c r="I28" s="15">
        <v>3800</v>
      </c>
      <c r="K28" s="2" t="s">
        <v>9</v>
      </c>
      <c r="L28" s="15">
        <v>640</v>
      </c>
      <c r="N28" s="32" t="s">
        <v>35</v>
      </c>
      <c r="O28" s="33">
        <f>I29</f>
        <v>3900</v>
      </c>
      <c r="Q28" t="s">
        <v>27</v>
      </c>
      <c r="R28" s="26">
        <f>0</f>
        <v>0</v>
      </c>
    </row>
    <row r="29" spans="2:18" ht="15.75" thickBot="1" x14ac:dyDescent="0.3">
      <c r="G29" s="12" t="s">
        <v>23</v>
      </c>
      <c r="H29" s="20" t="s">
        <v>10</v>
      </c>
      <c r="I29" s="21">
        <v>3900</v>
      </c>
      <c r="K29" s="20" t="s">
        <v>10</v>
      </c>
      <c r="L29" s="21">
        <v>3900</v>
      </c>
      <c r="N29" s="32" t="s">
        <v>36</v>
      </c>
      <c r="O29" s="33">
        <v>0</v>
      </c>
      <c r="Q29" s="19" t="s">
        <v>25</v>
      </c>
      <c r="R29" s="27">
        <f>SUM(R26:R28)</f>
        <v>2000</v>
      </c>
    </row>
    <row r="30" spans="2:18" x14ac:dyDescent="0.25">
      <c r="G30" s="12"/>
      <c r="H30" s="2" t="s">
        <v>12</v>
      </c>
      <c r="I30" s="15">
        <v>348</v>
      </c>
      <c r="K30" s="2" t="s">
        <v>12</v>
      </c>
      <c r="L30" s="15">
        <v>348</v>
      </c>
      <c r="N30" s="32" t="s">
        <v>34</v>
      </c>
      <c r="O30" s="33">
        <f>C19</f>
        <v>1887.5654643652115</v>
      </c>
      <c r="Q30" s="28"/>
      <c r="R30" s="29"/>
    </row>
    <row r="31" spans="2:18" ht="15.75" thickBot="1" x14ac:dyDescent="0.3">
      <c r="G31" s="12"/>
      <c r="H31" s="1" t="s">
        <v>13</v>
      </c>
      <c r="I31" s="16">
        <f>(I26+I29)*EXP(I28/(I30*9.81))</f>
        <v>55893.50121331487</v>
      </c>
      <c r="K31" s="1" t="s">
        <v>13</v>
      </c>
      <c r="L31" s="16">
        <f>(L26+L29)*EXP(L28/(L30*9.81))</f>
        <v>35210.319465427419</v>
      </c>
      <c r="N31" s="34" t="s">
        <v>26</v>
      </c>
      <c r="O31" s="16">
        <v>0</v>
      </c>
    </row>
    <row r="32" spans="2:18" ht="15.75" thickBot="1" x14ac:dyDescent="0.3">
      <c r="G32" s="12"/>
      <c r="H32" s="13" t="s">
        <v>15</v>
      </c>
      <c r="I32" s="17">
        <f>I31+I26+I29</f>
        <v>74256.63647383482</v>
      </c>
      <c r="K32" s="13" t="s">
        <v>15</v>
      </c>
      <c r="L32" s="17">
        <f>L31+L26+L29</f>
        <v>64401.576002082853</v>
      </c>
      <c r="N32" s="19" t="s">
        <v>30</v>
      </c>
      <c r="O32" s="30">
        <f>SUM(O26:O31)</f>
        <v>9687.5654643652124</v>
      </c>
    </row>
    <row r="33" spans="1:10" x14ac:dyDescent="0.25">
      <c r="G33" s="12"/>
    </row>
    <row r="34" spans="1:10" ht="15.75" thickBot="1" x14ac:dyDescent="0.3"/>
    <row r="35" spans="1:10" ht="15.75" thickBot="1" x14ac:dyDescent="0.3">
      <c r="B35" s="103" t="s">
        <v>37</v>
      </c>
      <c r="C35" s="112"/>
      <c r="D35" s="112"/>
      <c r="E35" s="104"/>
    </row>
    <row r="36" spans="1:10" ht="15.75" thickBot="1" x14ac:dyDescent="0.3">
      <c r="A36" t="s">
        <v>48</v>
      </c>
      <c r="B36" s="113" t="s">
        <v>38</v>
      </c>
      <c r="C36" s="114"/>
      <c r="D36" s="114" t="s">
        <v>39</v>
      </c>
      <c r="E36" s="115"/>
      <c r="F36" t="s">
        <v>48</v>
      </c>
    </row>
    <row r="37" spans="1:10" ht="15.75" thickBot="1" x14ac:dyDescent="0.3">
      <c r="B37" s="37" t="s">
        <v>50</v>
      </c>
      <c r="C37" s="26">
        <f>C16</f>
        <v>2000</v>
      </c>
      <c r="D37" s="37" t="s">
        <v>50</v>
      </c>
      <c r="E37" s="26">
        <f>C16</f>
        <v>2000</v>
      </c>
    </row>
    <row r="38" spans="1:10" x14ac:dyDescent="0.25">
      <c r="B38" s="35" t="s">
        <v>40</v>
      </c>
      <c r="C38" s="36">
        <f>C19</f>
        <v>1887.5654643652115</v>
      </c>
      <c r="D38" s="35" t="s">
        <v>40</v>
      </c>
      <c r="E38" s="40">
        <f>C19</f>
        <v>1887.5654643652115</v>
      </c>
    </row>
    <row r="39" spans="1:10" x14ac:dyDescent="0.25">
      <c r="A39">
        <v>0.27600000000000002</v>
      </c>
      <c r="B39" s="37" t="s">
        <v>41</v>
      </c>
      <c r="C39" s="26">
        <f>$C$38*A39</f>
        <v>520.96806816479841</v>
      </c>
      <c r="D39" s="37" t="s">
        <v>49</v>
      </c>
      <c r="E39" s="41">
        <f>(F39*((E38+C16)/1000)^G39)+(H39*((E38+C16)/1000)^I39)+J39</f>
        <v>1454.7066188169581</v>
      </c>
      <c r="F39">
        <v>1.325</v>
      </c>
      <c r="G39">
        <v>2.863</v>
      </c>
      <c r="H39">
        <f>0.00005651</f>
        <v>5.6509999999999999E-5</v>
      </c>
      <c r="I39">
        <v>5.2690000000000001</v>
      </c>
      <c r="J39">
        <v>1390</v>
      </c>
    </row>
    <row r="40" spans="1:10" x14ac:dyDescent="0.25">
      <c r="A40">
        <v>0.33700000000000002</v>
      </c>
      <c r="B40" s="37" t="s">
        <v>42</v>
      </c>
      <c r="C40" s="26">
        <f t="shared" ref="C40:C44" si="0">$C$38*A40</f>
        <v>636.10956149107631</v>
      </c>
      <c r="D40" s="37" t="s">
        <v>42</v>
      </c>
      <c r="E40" s="41">
        <f>(F40*((E38+C16)/1000)^G40)-H40*((E38+C16)/1000)^I40</f>
        <v>111.91761866321352</v>
      </c>
      <c r="F40">
        <v>2.702</v>
      </c>
      <c r="G40">
        <v>2.7850000000000001</v>
      </c>
      <c r="H40">
        <v>1.813E-2</v>
      </c>
      <c r="I40">
        <v>4.3479999999999999</v>
      </c>
    </row>
    <row r="41" spans="1:10" x14ac:dyDescent="0.25">
      <c r="A41">
        <v>7.5999999999999998E-2</v>
      </c>
      <c r="B41" s="37" t="s">
        <v>43</v>
      </c>
      <c r="C41" s="26">
        <f t="shared" si="0"/>
        <v>143.45497529175606</v>
      </c>
      <c r="D41" s="37" t="s">
        <v>43</v>
      </c>
      <c r="E41" s="41"/>
    </row>
    <row r="42" spans="1:10" x14ac:dyDescent="0.25">
      <c r="A42">
        <v>8.7999999999999995E-2</v>
      </c>
      <c r="B42" s="37" t="s">
        <v>44</v>
      </c>
      <c r="C42" s="26">
        <f t="shared" si="0"/>
        <v>166.1057608641386</v>
      </c>
      <c r="D42" s="37" t="s">
        <v>44</v>
      </c>
      <c r="E42" s="41"/>
    </row>
    <row r="43" spans="1:10" x14ac:dyDescent="0.25">
      <c r="A43">
        <v>0.13</v>
      </c>
      <c r="B43" s="37" t="s">
        <v>45</v>
      </c>
      <c r="C43" s="26">
        <f t="shared" si="0"/>
        <v>245.3835103674775</v>
      </c>
      <c r="D43" s="37"/>
      <c r="E43" s="41"/>
    </row>
    <row r="44" spans="1:10" ht="15.75" thickBot="1" x14ac:dyDescent="0.3">
      <c r="A44">
        <v>9.4E-2</v>
      </c>
      <c r="B44" s="38" t="s">
        <v>46</v>
      </c>
      <c r="C44" s="39">
        <f t="shared" si="0"/>
        <v>177.43115365032989</v>
      </c>
      <c r="D44" s="38" t="s">
        <v>46</v>
      </c>
      <c r="E44" s="39"/>
    </row>
    <row r="45" spans="1:10" ht="15.75" thickBot="1" x14ac:dyDescent="0.3">
      <c r="B45" s="42" t="s">
        <v>51</v>
      </c>
      <c r="C45" s="27">
        <f>C22</f>
        <v>12463.13526051995</v>
      </c>
      <c r="D45" s="12" t="s">
        <v>51</v>
      </c>
    </row>
    <row r="46" spans="1:10" x14ac:dyDescent="0.25">
      <c r="B46" s="12"/>
      <c r="C46" s="12"/>
      <c r="D46" s="12"/>
    </row>
  </sheetData>
  <mergeCells count="17">
    <mergeCell ref="H25:I25"/>
    <mergeCell ref="N25:O25"/>
    <mergeCell ref="Q25:R25"/>
    <mergeCell ref="B35:E35"/>
    <mergeCell ref="B36:C36"/>
    <mergeCell ref="D36:E36"/>
    <mergeCell ref="K25:L25"/>
    <mergeCell ref="H6:I6"/>
    <mergeCell ref="N6:O6"/>
    <mergeCell ref="Q6:R6"/>
    <mergeCell ref="B15:C15"/>
    <mergeCell ref="E15:F15"/>
    <mergeCell ref="H15:I15"/>
    <mergeCell ref="N15:O15"/>
    <mergeCell ref="Q15:R15"/>
    <mergeCell ref="K6:L6"/>
    <mergeCell ref="K15:L1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53D71-B849-483A-B757-E942B6C051B0}">
  <dimension ref="A1:O45"/>
  <sheetViews>
    <sheetView zoomScale="55" zoomScaleNormal="55" workbookViewId="0">
      <selection activeCell="S26" sqref="S26"/>
    </sheetView>
  </sheetViews>
  <sheetFormatPr baseColWidth="10" defaultRowHeight="15" x14ac:dyDescent="0.25"/>
  <sheetData>
    <row r="1" spans="1:15" x14ac:dyDescent="0.25">
      <c r="A1" t="s">
        <v>11</v>
      </c>
    </row>
    <row r="4" spans="1:15" ht="15.75" thickBot="1" x14ac:dyDescent="0.3"/>
    <row r="5" spans="1:15" ht="15.75" thickBot="1" x14ac:dyDescent="0.3">
      <c r="H5" s="103" t="s">
        <v>66</v>
      </c>
      <c r="I5" s="104"/>
      <c r="K5" s="103" t="s">
        <v>29</v>
      </c>
      <c r="L5" s="104"/>
      <c r="N5" s="103" t="s">
        <v>28</v>
      </c>
      <c r="O5" s="104"/>
    </row>
    <row r="6" spans="1:15" x14ac:dyDescent="0.25">
      <c r="H6" s="24" t="s">
        <v>7</v>
      </c>
      <c r="I6" s="25">
        <f>C15+C21</f>
        <v>18676.876270165358</v>
      </c>
      <c r="K6" s="18" t="s">
        <v>33</v>
      </c>
      <c r="L6" s="31">
        <f>F18</f>
        <v>3900</v>
      </c>
      <c r="N6" t="s">
        <v>24</v>
      </c>
      <c r="O6" s="26">
        <f>C15</f>
        <v>2000</v>
      </c>
    </row>
    <row r="7" spans="1:15" x14ac:dyDescent="0.25">
      <c r="G7" s="12" t="s">
        <v>18</v>
      </c>
      <c r="H7" s="2" t="s">
        <v>8</v>
      </c>
      <c r="I7" s="14">
        <v>95630000000</v>
      </c>
      <c r="K7" s="32" t="s">
        <v>32</v>
      </c>
      <c r="L7" s="33">
        <f>F20</f>
        <v>17616.125607925009</v>
      </c>
      <c r="N7" t="s">
        <v>26</v>
      </c>
      <c r="O7" s="26">
        <f>C21</f>
        <v>16676.876270165358</v>
      </c>
    </row>
    <row r="8" spans="1:15" ht="15.75" thickBot="1" x14ac:dyDescent="0.3">
      <c r="G8" s="12" t="s">
        <v>19</v>
      </c>
      <c r="H8" s="2" t="s">
        <v>9</v>
      </c>
      <c r="I8" s="15">
        <v>3800</v>
      </c>
      <c r="K8" s="32" t="s">
        <v>35</v>
      </c>
      <c r="L8" s="33">
        <f>I9</f>
        <v>3900</v>
      </c>
      <c r="N8" t="s">
        <v>27</v>
      </c>
      <c r="O8" s="26">
        <f>I11</f>
        <v>25926.588042245305</v>
      </c>
    </row>
    <row r="9" spans="1:15" ht="15.75" thickBot="1" x14ac:dyDescent="0.3">
      <c r="G9" s="12" t="s">
        <v>20</v>
      </c>
      <c r="H9" s="20" t="s">
        <v>10</v>
      </c>
      <c r="I9" s="21">
        <v>3900</v>
      </c>
      <c r="K9" s="32" t="s">
        <v>36</v>
      </c>
      <c r="L9" s="33">
        <f>I11</f>
        <v>25926.588042245305</v>
      </c>
      <c r="N9" s="19" t="s">
        <v>25</v>
      </c>
      <c r="O9" s="27">
        <f>SUM(O6:O8)</f>
        <v>44603.464312410666</v>
      </c>
    </row>
    <row r="10" spans="1:15" x14ac:dyDescent="0.25">
      <c r="G10" s="12"/>
      <c r="H10" s="2" t="s">
        <v>12</v>
      </c>
      <c r="I10" s="15">
        <v>2800</v>
      </c>
      <c r="K10" s="32" t="s">
        <v>34</v>
      </c>
      <c r="L10" s="33">
        <f>C18</f>
        <v>1887.5654643652115</v>
      </c>
      <c r="O10" s="12"/>
    </row>
    <row r="11" spans="1:15" ht="15.75" thickBot="1" x14ac:dyDescent="0.3">
      <c r="G11" s="12"/>
      <c r="H11" s="1" t="s">
        <v>13</v>
      </c>
      <c r="I11" s="16">
        <f>(I6+I9)*EXP(I8/(I10*9.81))</f>
        <v>25926.588042245305</v>
      </c>
      <c r="K11" s="34" t="s">
        <v>26</v>
      </c>
      <c r="L11" s="16">
        <f>C21</f>
        <v>16676.876270165358</v>
      </c>
    </row>
    <row r="12" spans="1:15" ht="15.75" thickBot="1" x14ac:dyDescent="0.3">
      <c r="G12" s="12"/>
      <c r="H12" s="13" t="s">
        <v>15</v>
      </c>
      <c r="I12" s="17">
        <f>I11+I6+I9</f>
        <v>48503.464312410666</v>
      </c>
      <c r="K12" s="19" t="s">
        <v>30</v>
      </c>
      <c r="L12" s="30">
        <f>SUM(L6:L11)</f>
        <v>69907.155384700876</v>
      </c>
    </row>
    <row r="13" spans="1:15" ht="15.75" thickBot="1" x14ac:dyDescent="0.3">
      <c r="G13" s="12"/>
    </row>
    <row r="14" spans="1:15" ht="15.75" thickBot="1" x14ac:dyDescent="0.3">
      <c r="B14" s="105" t="s">
        <v>52</v>
      </c>
      <c r="C14" s="106"/>
      <c r="E14" s="118" t="s">
        <v>16</v>
      </c>
      <c r="F14" s="119"/>
      <c r="G14" s="12"/>
      <c r="H14" s="103" t="s">
        <v>66</v>
      </c>
      <c r="I14" s="104"/>
      <c r="K14" s="103" t="s">
        <v>29</v>
      </c>
      <c r="L14" s="104"/>
      <c r="N14" s="103" t="s">
        <v>28</v>
      </c>
      <c r="O14" s="104"/>
    </row>
    <row r="15" spans="1:15" x14ac:dyDescent="0.25">
      <c r="B15" s="3" t="s">
        <v>0</v>
      </c>
      <c r="C15" s="7">
        <v>2000</v>
      </c>
      <c r="E15" s="22" t="s">
        <v>7</v>
      </c>
      <c r="F15" s="23">
        <f>C18</f>
        <v>1887.5654643652115</v>
      </c>
      <c r="G15" s="12"/>
      <c r="H15" s="24" t="s">
        <v>7</v>
      </c>
      <c r="I15" s="25">
        <f>C15</f>
        <v>2000</v>
      </c>
      <c r="K15" s="18" t="s">
        <v>31</v>
      </c>
      <c r="L15" s="31">
        <f>F18</f>
        <v>3900</v>
      </c>
      <c r="N15" t="s">
        <v>24</v>
      </c>
      <c r="O15" s="26">
        <f>I15</f>
        <v>2000</v>
      </c>
    </row>
    <row r="16" spans="1:15" x14ac:dyDescent="0.25">
      <c r="B16" s="4" t="s">
        <v>47</v>
      </c>
      <c r="C16" s="8">
        <v>367.29</v>
      </c>
      <c r="E16" s="2" t="s">
        <v>8</v>
      </c>
      <c r="F16" s="14">
        <f>348000000000</f>
        <v>348000000000</v>
      </c>
      <c r="G16" s="12" t="s">
        <v>19</v>
      </c>
      <c r="H16" s="2" t="s">
        <v>8</v>
      </c>
      <c r="I16" s="14">
        <f>348000000000</f>
        <v>348000000000</v>
      </c>
      <c r="K16" s="32" t="s">
        <v>27</v>
      </c>
      <c r="L16" s="33">
        <f>F20</f>
        <v>17616.125607925009</v>
      </c>
      <c r="N16" t="s">
        <v>26</v>
      </c>
      <c r="O16" s="26">
        <f>0</f>
        <v>0</v>
      </c>
    </row>
    <row r="17" spans="2:15" ht="15.75" thickBot="1" x14ac:dyDescent="0.3">
      <c r="B17" s="5" t="s">
        <v>6</v>
      </c>
      <c r="C17" s="9">
        <v>-904.17</v>
      </c>
      <c r="E17" s="2" t="s">
        <v>9</v>
      </c>
      <c r="F17" s="15">
        <v>3800</v>
      </c>
      <c r="G17" s="12" t="s">
        <v>20</v>
      </c>
      <c r="H17" s="2" t="s">
        <v>9</v>
      </c>
      <c r="I17" s="15">
        <v>3800</v>
      </c>
      <c r="K17" s="32" t="s">
        <v>35</v>
      </c>
      <c r="L17" s="33">
        <f>I18</f>
        <v>3900</v>
      </c>
      <c r="N17" t="s">
        <v>27</v>
      </c>
      <c r="O17" s="26">
        <f>I20</f>
        <v>6775.3779406315953</v>
      </c>
    </row>
    <row r="18" spans="2:15" ht="15.75" thickBot="1" x14ac:dyDescent="0.3">
      <c r="B18" s="43" t="s">
        <v>1</v>
      </c>
      <c r="C18" s="44">
        <f>C16*LN(C15)+C17</f>
        <v>1887.5654643652115</v>
      </c>
      <c r="E18" s="20" t="s">
        <v>10</v>
      </c>
      <c r="F18" s="21">
        <v>3900</v>
      </c>
      <c r="G18" s="12" t="s">
        <v>21</v>
      </c>
      <c r="H18" s="20" t="s">
        <v>10</v>
      </c>
      <c r="I18" s="21">
        <v>3900</v>
      </c>
      <c r="K18" s="32" t="s">
        <v>36</v>
      </c>
      <c r="L18" s="33">
        <f>I20</f>
        <v>6775.3779406315953</v>
      </c>
      <c r="N18" s="19" t="s">
        <v>25</v>
      </c>
      <c r="O18" s="27">
        <f>SUM(O15:O17)</f>
        <v>8775.3779406315953</v>
      </c>
    </row>
    <row r="19" spans="2:15" x14ac:dyDescent="0.25">
      <c r="B19" s="4" t="s">
        <v>4</v>
      </c>
      <c r="C19" s="10">
        <v>350</v>
      </c>
      <c r="E19" s="2" t="s">
        <v>12</v>
      </c>
      <c r="F19" s="15">
        <v>348</v>
      </c>
      <c r="G19" s="12"/>
      <c r="H19" s="2" t="s">
        <v>12</v>
      </c>
      <c r="I19" s="15">
        <v>2800</v>
      </c>
      <c r="K19" s="32" t="s">
        <v>34</v>
      </c>
      <c r="L19" s="33">
        <f>C18</f>
        <v>1887.5654643652115</v>
      </c>
    </row>
    <row r="20" spans="2:15" ht="15.75" thickBot="1" x14ac:dyDescent="0.3">
      <c r="B20" s="4" t="s">
        <v>5</v>
      </c>
      <c r="C20" s="10">
        <v>5000</v>
      </c>
      <c r="E20" s="1" t="s">
        <v>13</v>
      </c>
      <c r="F20" s="16">
        <f>(F15+F18)*EXP(F17/(F19*9.81))</f>
        <v>17616.125607925009</v>
      </c>
      <c r="G20" s="12"/>
      <c r="H20" s="1" t="s">
        <v>13</v>
      </c>
      <c r="I20" s="16">
        <f>(I15+I18)*EXP(I17/(I19*9.81))</f>
        <v>6775.3779406315953</v>
      </c>
      <c r="K20" s="34" t="s">
        <v>26</v>
      </c>
      <c r="L20" s="16">
        <v>0</v>
      </c>
    </row>
    <row r="21" spans="2:15" ht="15.75" thickBot="1" x14ac:dyDescent="0.3">
      <c r="B21" s="45" t="s">
        <v>2</v>
      </c>
      <c r="C21" s="46">
        <f>(C15+C18)*EXP(C20/(C19*9.81))</f>
        <v>16676.876270165358</v>
      </c>
      <c r="E21" s="13" t="s">
        <v>14</v>
      </c>
      <c r="F21" s="17">
        <f>F20+F15+F18</f>
        <v>23403.691072290221</v>
      </c>
      <c r="G21" s="12"/>
      <c r="H21" s="13" t="s">
        <v>15</v>
      </c>
      <c r="I21" s="17">
        <f>I20+I15+I18</f>
        <v>12675.377940631595</v>
      </c>
      <c r="K21" s="19" t="s">
        <v>30</v>
      </c>
      <c r="L21" s="30">
        <f>SUM(L15:L20)</f>
        <v>34079.069012921813</v>
      </c>
    </row>
    <row r="22" spans="2:15" ht="15.75" thickBot="1" x14ac:dyDescent="0.3">
      <c r="B22" s="6" t="s">
        <v>3</v>
      </c>
      <c r="C22" s="11">
        <f>C21+C18+C15</f>
        <v>20564.44173453057</v>
      </c>
      <c r="G22" s="12"/>
    </row>
    <row r="23" spans="2:15" ht="15.75" thickBot="1" x14ac:dyDescent="0.3">
      <c r="G23" s="12"/>
    </row>
    <row r="24" spans="2:15" ht="15.75" thickBot="1" x14ac:dyDescent="0.3">
      <c r="G24" s="12"/>
      <c r="H24" s="103" t="s">
        <v>66</v>
      </c>
      <c r="I24" s="104"/>
      <c r="K24" s="103" t="s">
        <v>29</v>
      </c>
      <c r="L24" s="104"/>
      <c r="N24" s="103" t="s">
        <v>28</v>
      </c>
      <c r="O24" s="104"/>
    </row>
    <row r="25" spans="2:15" x14ac:dyDescent="0.25">
      <c r="G25" s="12"/>
      <c r="H25" s="24" t="s">
        <v>7</v>
      </c>
      <c r="I25" s="25">
        <f>C15+C21</f>
        <v>18676.876270165358</v>
      </c>
      <c r="K25" s="18" t="s">
        <v>31</v>
      </c>
      <c r="L25" s="31">
        <f>F18</f>
        <v>3900</v>
      </c>
      <c r="N25" t="s">
        <v>24</v>
      </c>
      <c r="O25" s="26">
        <f>C15</f>
        <v>2000</v>
      </c>
    </row>
    <row r="26" spans="2:15" x14ac:dyDescent="0.25">
      <c r="G26" s="12" t="s">
        <v>22</v>
      </c>
      <c r="H26" s="2" t="s">
        <v>8</v>
      </c>
      <c r="I26" s="14">
        <f>348000000000</f>
        <v>348000000000</v>
      </c>
      <c r="K26" s="32" t="s">
        <v>32</v>
      </c>
      <c r="L26" s="33">
        <v>0</v>
      </c>
      <c r="N26" t="s">
        <v>26</v>
      </c>
      <c r="O26" s="26">
        <f>0</f>
        <v>0</v>
      </c>
    </row>
    <row r="27" spans="2:15" ht="15.75" thickBot="1" x14ac:dyDescent="0.3">
      <c r="G27" s="12" t="s">
        <v>20</v>
      </c>
      <c r="H27" s="2" t="s">
        <v>9</v>
      </c>
      <c r="I27" s="15">
        <v>3800</v>
      </c>
      <c r="K27" s="32" t="s">
        <v>35</v>
      </c>
      <c r="L27" s="33">
        <f>I28</f>
        <v>3900</v>
      </c>
      <c r="N27" t="s">
        <v>27</v>
      </c>
      <c r="O27" s="26">
        <f>0</f>
        <v>0</v>
      </c>
    </row>
    <row r="28" spans="2:15" ht="15.75" thickBot="1" x14ac:dyDescent="0.3">
      <c r="G28" s="12" t="s">
        <v>23</v>
      </c>
      <c r="H28" s="20" t="s">
        <v>10</v>
      </c>
      <c r="I28" s="21">
        <v>3900</v>
      </c>
      <c r="K28" s="32" t="s">
        <v>36</v>
      </c>
      <c r="L28" s="33">
        <v>0</v>
      </c>
      <c r="N28" s="19" t="s">
        <v>25</v>
      </c>
      <c r="O28" s="27">
        <f>SUM(O25:O27)</f>
        <v>2000</v>
      </c>
    </row>
    <row r="29" spans="2:15" x14ac:dyDescent="0.25">
      <c r="G29" s="12"/>
      <c r="H29" s="2" t="s">
        <v>12</v>
      </c>
      <c r="I29" s="15">
        <v>2800</v>
      </c>
      <c r="K29" s="32" t="s">
        <v>34</v>
      </c>
      <c r="L29" s="33">
        <f>C18</f>
        <v>1887.5654643652115</v>
      </c>
      <c r="N29" s="28"/>
      <c r="O29" s="29"/>
    </row>
    <row r="30" spans="2:15" ht="15.75" thickBot="1" x14ac:dyDescent="0.3">
      <c r="G30" s="12"/>
      <c r="H30" s="1" t="s">
        <v>13</v>
      </c>
      <c r="I30" s="16">
        <f>(I25+I28)*EXP(I27/(I29*9.81))</f>
        <v>25926.588042245305</v>
      </c>
      <c r="K30" s="34" t="s">
        <v>26</v>
      </c>
      <c r="L30" s="16">
        <v>0</v>
      </c>
    </row>
    <row r="31" spans="2:15" ht="15.75" thickBot="1" x14ac:dyDescent="0.3">
      <c r="G31" s="12"/>
      <c r="H31" s="13" t="s">
        <v>15</v>
      </c>
      <c r="I31" s="17">
        <f>I30+I25+I28</f>
        <v>48503.464312410666</v>
      </c>
      <c r="K31" s="19" t="s">
        <v>30</v>
      </c>
      <c r="L31" s="30">
        <f>SUM(L25:L30)</f>
        <v>9687.5654643652124</v>
      </c>
    </row>
    <row r="32" spans="2:15" x14ac:dyDescent="0.25">
      <c r="G32" s="12"/>
    </row>
    <row r="33" spans="1:10" ht="15.75" thickBot="1" x14ac:dyDescent="0.3"/>
    <row r="34" spans="1:10" ht="15.75" thickBot="1" x14ac:dyDescent="0.3">
      <c r="B34" s="103" t="s">
        <v>37</v>
      </c>
      <c r="C34" s="112"/>
      <c r="D34" s="112"/>
      <c r="E34" s="104"/>
    </row>
    <row r="35" spans="1:10" ht="15.75" thickBot="1" x14ac:dyDescent="0.3">
      <c r="A35" t="s">
        <v>48</v>
      </c>
      <c r="B35" s="113" t="s">
        <v>38</v>
      </c>
      <c r="C35" s="114"/>
      <c r="D35" s="114" t="s">
        <v>39</v>
      </c>
      <c r="E35" s="115"/>
      <c r="F35" t="s">
        <v>48</v>
      </c>
    </row>
    <row r="36" spans="1:10" ht="15.75" thickBot="1" x14ac:dyDescent="0.3">
      <c r="B36" s="37" t="s">
        <v>50</v>
      </c>
      <c r="C36" s="26">
        <f>C15</f>
        <v>2000</v>
      </c>
      <c r="D36" s="37" t="s">
        <v>50</v>
      </c>
      <c r="E36" s="26">
        <f>C15</f>
        <v>2000</v>
      </c>
    </row>
    <row r="37" spans="1:10" x14ac:dyDescent="0.25">
      <c r="B37" s="35" t="s">
        <v>40</v>
      </c>
      <c r="C37" s="36">
        <f>C18</f>
        <v>1887.5654643652115</v>
      </c>
      <c r="D37" s="35" t="s">
        <v>40</v>
      </c>
      <c r="E37" s="40">
        <f>C18</f>
        <v>1887.5654643652115</v>
      </c>
    </row>
    <row r="38" spans="1:10" x14ac:dyDescent="0.25">
      <c r="A38">
        <v>0.27600000000000002</v>
      </c>
      <c r="B38" s="37" t="s">
        <v>41</v>
      </c>
      <c r="C38" s="26">
        <f ca="1">$C$38*A38</f>
        <v>520.96806816479841</v>
      </c>
      <c r="D38" s="37" t="s">
        <v>49</v>
      </c>
      <c r="E38" s="41">
        <f>(F38*((E37+C15)/1000)^G38)+(H38*((E37+C15)/1000)^I38)+J38</f>
        <v>1454.7066188169581</v>
      </c>
      <c r="F38">
        <v>1.325</v>
      </c>
      <c r="G38">
        <v>2.863</v>
      </c>
      <c r="H38">
        <f>0.00005651</f>
        <v>5.6509999999999999E-5</v>
      </c>
      <c r="I38">
        <v>5.2690000000000001</v>
      </c>
      <c r="J38">
        <v>1390</v>
      </c>
    </row>
    <row r="39" spans="1:10" x14ac:dyDescent="0.25">
      <c r="A39">
        <v>0.33700000000000002</v>
      </c>
      <c r="B39" s="37" t="s">
        <v>42</v>
      </c>
      <c r="C39" s="26">
        <f t="shared" ref="C39:C43" ca="1" si="0">$C$38*A39</f>
        <v>636.10956149107631</v>
      </c>
      <c r="D39" s="37" t="s">
        <v>42</v>
      </c>
      <c r="E39" s="41">
        <f>(F39*((E37+C15)/1000)^G39)-H39*((E37+C15)/1000)^I39</f>
        <v>111.91761866321352</v>
      </c>
      <c r="F39">
        <v>2.702</v>
      </c>
      <c r="G39">
        <v>2.7850000000000001</v>
      </c>
      <c r="H39">
        <v>1.813E-2</v>
      </c>
      <c r="I39">
        <v>4.3479999999999999</v>
      </c>
    </row>
    <row r="40" spans="1:10" x14ac:dyDescent="0.25">
      <c r="A40">
        <v>7.5999999999999998E-2</v>
      </c>
      <c r="B40" s="37" t="s">
        <v>43</v>
      </c>
      <c r="C40" s="26">
        <f t="shared" ca="1" si="0"/>
        <v>143.45497529175606</v>
      </c>
      <c r="D40" s="37" t="s">
        <v>43</v>
      </c>
      <c r="E40" s="41"/>
    </row>
    <row r="41" spans="1:10" x14ac:dyDescent="0.25">
      <c r="A41">
        <v>8.7999999999999995E-2</v>
      </c>
      <c r="B41" s="37" t="s">
        <v>44</v>
      </c>
      <c r="C41" s="26">
        <f t="shared" ca="1" si="0"/>
        <v>166.1057608641386</v>
      </c>
      <c r="D41" s="37" t="s">
        <v>44</v>
      </c>
      <c r="E41" s="41"/>
    </row>
    <row r="42" spans="1:10" x14ac:dyDescent="0.25">
      <c r="A42">
        <v>0.13</v>
      </c>
      <c r="B42" s="37" t="s">
        <v>45</v>
      </c>
      <c r="C42" s="26">
        <f t="shared" ca="1" si="0"/>
        <v>245.3835103674775</v>
      </c>
      <c r="D42" s="37"/>
      <c r="E42" s="41"/>
    </row>
    <row r="43" spans="1:10" ht="15.75" thickBot="1" x14ac:dyDescent="0.3">
      <c r="A43">
        <v>9.4E-2</v>
      </c>
      <c r="B43" s="38" t="s">
        <v>46</v>
      </c>
      <c r="C43" s="39">
        <f t="shared" ca="1" si="0"/>
        <v>177.43115365032989</v>
      </c>
      <c r="D43" s="38" t="s">
        <v>46</v>
      </c>
      <c r="E43" s="39"/>
    </row>
    <row r="44" spans="1:10" ht="15.75" thickBot="1" x14ac:dyDescent="0.3">
      <c r="B44" s="42" t="s">
        <v>51</v>
      </c>
      <c r="C44" s="27">
        <f>C21</f>
        <v>16676.876270165358</v>
      </c>
      <c r="D44" s="12" t="s">
        <v>51</v>
      </c>
    </row>
    <row r="45" spans="1:10" x14ac:dyDescent="0.25">
      <c r="B45" s="12"/>
      <c r="C45" s="12"/>
      <c r="D45" s="12"/>
    </row>
  </sheetData>
  <mergeCells count="14">
    <mergeCell ref="H5:I5"/>
    <mergeCell ref="K5:L5"/>
    <mergeCell ref="N5:O5"/>
    <mergeCell ref="B14:C14"/>
    <mergeCell ref="E14:F14"/>
    <mergeCell ref="H14:I14"/>
    <mergeCell ref="K14:L14"/>
    <mergeCell ref="N14:O14"/>
    <mergeCell ref="H24:I24"/>
    <mergeCell ref="K24:L24"/>
    <mergeCell ref="N24:O24"/>
    <mergeCell ref="B34:E34"/>
    <mergeCell ref="B35:C35"/>
    <mergeCell ref="D35:E3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86EC3-23D6-4575-A2F8-731DBBDB2E0D}">
  <dimension ref="A1:K45"/>
  <sheetViews>
    <sheetView topLeftCell="A8" workbookViewId="0">
      <selection activeCell="G17" sqref="G17"/>
    </sheetView>
  </sheetViews>
  <sheetFormatPr baseColWidth="10" defaultRowHeight="15" x14ac:dyDescent="0.25"/>
  <sheetData>
    <row r="1" spans="1:11" x14ac:dyDescent="0.25">
      <c r="A1" t="s">
        <v>11</v>
      </c>
    </row>
    <row r="7" spans="1:11" x14ac:dyDescent="0.25">
      <c r="G7" s="12" t="s">
        <v>18</v>
      </c>
    </row>
    <row r="8" spans="1:11" x14ac:dyDescent="0.25">
      <c r="G8" s="12" t="s">
        <v>19</v>
      </c>
    </row>
    <row r="9" spans="1:11" x14ac:dyDescent="0.25">
      <c r="G9" s="12" t="s">
        <v>20</v>
      </c>
    </row>
    <row r="10" spans="1:11" x14ac:dyDescent="0.25">
      <c r="G10" s="12"/>
    </row>
    <row r="11" spans="1:11" x14ac:dyDescent="0.25">
      <c r="G11" s="12"/>
    </row>
    <row r="12" spans="1:11" x14ac:dyDescent="0.25">
      <c r="G12" s="12"/>
    </row>
    <row r="13" spans="1:11" ht="15.75" thickBot="1" x14ac:dyDescent="0.3">
      <c r="G13" s="12"/>
    </row>
    <row r="14" spans="1:11" ht="15.75" thickBot="1" x14ac:dyDescent="0.3">
      <c r="B14" s="105" t="s">
        <v>52</v>
      </c>
      <c r="C14" s="106"/>
      <c r="E14" s="12"/>
      <c r="F14" s="103" t="s">
        <v>17</v>
      </c>
      <c r="G14" s="104"/>
      <c r="J14" s="103" t="s">
        <v>28</v>
      </c>
      <c r="K14" s="104"/>
    </row>
    <row r="15" spans="1:11" x14ac:dyDescent="0.25">
      <c r="B15" s="3" t="s">
        <v>0</v>
      </c>
      <c r="C15" s="7">
        <v>2000</v>
      </c>
      <c r="E15" s="12"/>
      <c r="F15" s="24" t="s">
        <v>7</v>
      </c>
      <c r="G15" s="25">
        <f>C22</f>
        <v>10848.258979849834</v>
      </c>
      <c r="J15" t="s">
        <v>24</v>
      </c>
      <c r="K15" s="26">
        <f>C15</f>
        <v>2000</v>
      </c>
    </row>
    <row r="16" spans="1:11" x14ac:dyDescent="0.25">
      <c r="B16" s="4" t="s">
        <v>47</v>
      </c>
      <c r="C16" s="8">
        <v>367.29</v>
      </c>
      <c r="E16" s="12" t="s">
        <v>19</v>
      </c>
      <c r="F16" s="2" t="s">
        <v>8</v>
      </c>
      <c r="G16" s="14">
        <f>348000000000</f>
        <v>348000000000</v>
      </c>
      <c r="J16" t="s">
        <v>26</v>
      </c>
      <c r="K16" s="26">
        <f>C21</f>
        <v>6960.6935154846233</v>
      </c>
    </row>
    <row r="17" spans="2:11" ht="15.75" thickBot="1" x14ac:dyDescent="0.3">
      <c r="B17" s="5" t="s">
        <v>6</v>
      </c>
      <c r="C17" s="9">
        <v>-904.17</v>
      </c>
      <c r="E17" s="12" t="s">
        <v>20</v>
      </c>
      <c r="F17" s="2" t="s">
        <v>9</v>
      </c>
      <c r="G17" s="15">
        <v>4000</v>
      </c>
      <c r="J17" t="s">
        <v>27</v>
      </c>
      <c r="K17" s="26">
        <f>G20</f>
        <v>47599.030220124783</v>
      </c>
    </row>
    <row r="18" spans="2:11" ht="15.75" thickBot="1" x14ac:dyDescent="0.3">
      <c r="B18" s="43" t="s">
        <v>1</v>
      </c>
      <c r="C18" s="44">
        <f>C16*LN(C15)+C17</f>
        <v>1887.5654643652115</v>
      </c>
      <c r="E18" s="12" t="s">
        <v>21</v>
      </c>
      <c r="F18" s="20" t="s">
        <v>10</v>
      </c>
      <c r="G18" s="21">
        <v>3900</v>
      </c>
      <c r="J18" s="19" t="s">
        <v>25</v>
      </c>
      <c r="K18" s="27">
        <f>SUM(K15:K17)</f>
        <v>56559.723735609405</v>
      </c>
    </row>
    <row r="19" spans="2:11" x14ac:dyDescent="0.25">
      <c r="B19" s="4" t="s">
        <v>4</v>
      </c>
      <c r="C19" s="10">
        <v>350</v>
      </c>
      <c r="E19" s="12"/>
      <c r="F19" s="2" t="s">
        <v>12</v>
      </c>
      <c r="G19" s="15">
        <v>348</v>
      </c>
      <c r="K19" s="12"/>
    </row>
    <row r="20" spans="2:11" ht="15.75" thickBot="1" x14ac:dyDescent="0.3">
      <c r="B20" s="4" t="s">
        <v>5</v>
      </c>
      <c r="C20" s="10">
        <v>2000</v>
      </c>
      <c r="E20" s="12"/>
      <c r="F20" s="1" t="s">
        <v>13</v>
      </c>
      <c r="G20" s="16">
        <f>(G15+G18)*EXP(G17/(G19*9.81))</f>
        <v>47599.030220124783</v>
      </c>
    </row>
    <row r="21" spans="2:11" ht="15.75" thickBot="1" x14ac:dyDescent="0.3">
      <c r="B21" s="45" t="s">
        <v>2</v>
      </c>
      <c r="C21" s="46">
        <f>(C15+C18)*EXP(C20/(C19*9.81))</f>
        <v>6960.6935154846233</v>
      </c>
      <c r="E21" s="12"/>
      <c r="F21" s="13" t="s">
        <v>15</v>
      </c>
      <c r="G21" s="17">
        <f>G20+G15+G18</f>
        <v>62347.289199974621</v>
      </c>
    </row>
    <row r="22" spans="2:11" ht="15.75" thickBot="1" x14ac:dyDescent="0.3">
      <c r="B22" s="6" t="s">
        <v>3</v>
      </c>
      <c r="C22" s="11">
        <f>C21+C18+C15</f>
        <v>10848.258979849834</v>
      </c>
      <c r="G22" s="12"/>
    </row>
    <row r="23" spans="2:11" x14ac:dyDescent="0.25">
      <c r="G23" s="12"/>
    </row>
    <row r="24" spans="2:11" x14ac:dyDescent="0.25">
      <c r="G24" s="12"/>
    </row>
    <row r="25" spans="2:11" x14ac:dyDescent="0.25">
      <c r="G25" s="12"/>
    </row>
    <row r="26" spans="2:11" x14ac:dyDescent="0.25">
      <c r="G26" s="12" t="s">
        <v>22</v>
      </c>
    </row>
    <row r="27" spans="2:11" x14ac:dyDescent="0.25">
      <c r="G27" s="12" t="s">
        <v>20</v>
      </c>
    </row>
    <row r="28" spans="2:11" x14ac:dyDescent="0.25">
      <c r="G28" s="12" t="s">
        <v>23</v>
      </c>
    </row>
    <row r="29" spans="2:11" x14ac:dyDescent="0.25">
      <c r="G29" s="12"/>
    </row>
    <row r="30" spans="2:11" x14ac:dyDescent="0.25">
      <c r="G30" s="12"/>
    </row>
    <row r="31" spans="2:11" x14ac:dyDescent="0.25">
      <c r="G31" s="12"/>
    </row>
    <row r="32" spans="2:11" x14ac:dyDescent="0.25">
      <c r="G32" s="12"/>
    </row>
    <row r="33" spans="1:10" ht="15.75" thickBot="1" x14ac:dyDescent="0.3"/>
    <row r="34" spans="1:10" ht="15.75" thickBot="1" x14ac:dyDescent="0.3">
      <c r="B34" s="103" t="s">
        <v>37</v>
      </c>
      <c r="C34" s="112"/>
      <c r="D34" s="112"/>
      <c r="E34" s="104"/>
    </row>
    <row r="35" spans="1:10" ht="15.75" thickBot="1" x14ac:dyDescent="0.3">
      <c r="A35" t="s">
        <v>48</v>
      </c>
      <c r="B35" s="113" t="s">
        <v>38</v>
      </c>
      <c r="C35" s="114"/>
      <c r="D35" s="114" t="s">
        <v>39</v>
      </c>
      <c r="E35" s="115"/>
      <c r="F35" t="s">
        <v>48</v>
      </c>
    </row>
    <row r="36" spans="1:10" ht="15.75" thickBot="1" x14ac:dyDescent="0.3">
      <c r="B36" s="37" t="s">
        <v>50</v>
      </c>
      <c r="C36" s="26">
        <f>C15</f>
        <v>2000</v>
      </c>
      <c r="D36" s="37" t="s">
        <v>50</v>
      </c>
      <c r="E36" s="26">
        <f>C15</f>
        <v>2000</v>
      </c>
    </row>
    <row r="37" spans="1:10" x14ac:dyDescent="0.25">
      <c r="B37" s="35" t="s">
        <v>40</v>
      </c>
      <c r="C37" s="36">
        <f>C18</f>
        <v>1887.5654643652115</v>
      </c>
      <c r="D37" s="35" t="s">
        <v>40</v>
      </c>
      <c r="E37" s="40">
        <f>C18</f>
        <v>1887.5654643652115</v>
      </c>
    </row>
    <row r="38" spans="1:10" x14ac:dyDescent="0.25">
      <c r="A38">
        <v>0.27600000000000002</v>
      </c>
      <c r="B38" s="37" t="s">
        <v>41</v>
      </c>
      <c r="C38" s="26">
        <f ca="1">$C$38*A38</f>
        <v>520.96806816479841</v>
      </c>
      <c r="D38" s="37" t="s">
        <v>49</v>
      </c>
      <c r="E38" s="41">
        <f>(F38*((E37+C15)/1000)^G38)+(H38*((E37+C15)/1000)^I38)+J38</f>
        <v>1454.7066188169581</v>
      </c>
      <c r="F38">
        <v>1.325</v>
      </c>
      <c r="G38">
        <v>2.863</v>
      </c>
      <c r="H38">
        <f>0.00005651</f>
        <v>5.6509999999999999E-5</v>
      </c>
      <c r="I38">
        <v>5.2690000000000001</v>
      </c>
      <c r="J38">
        <v>1390</v>
      </c>
    </row>
    <row r="39" spans="1:10" x14ac:dyDescent="0.25">
      <c r="A39">
        <v>0.33700000000000002</v>
      </c>
      <c r="B39" s="37" t="s">
        <v>42</v>
      </c>
      <c r="C39" s="26">
        <f t="shared" ref="C39:C43" ca="1" si="0">$C$38*A39</f>
        <v>636.10956149107631</v>
      </c>
      <c r="D39" s="37" t="s">
        <v>42</v>
      </c>
      <c r="E39" s="41">
        <f>(F39*((E37+C15)/1000)^G39)-H39*((E37+C15)/1000)^I39</f>
        <v>111.91761866321352</v>
      </c>
      <c r="F39">
        <v>2.702</v>
      </c>
      <c r="G39">
        <v>2.7850000000000001</v>
      </c>
      <c r="H39">
        <v>1.813E-2</v>
      </c>
      <c r="I39">
        <v>4.3479999999999999</v>
      </c>
    </row>
    <row r="40" spans="1:10" x14ac:dyDescent="0.25">
      <c r="A40">
        <v>7.5999999999999998E-2</v>
      </c>
      <c r="B40" s="37" t="s">
        <v>43</v>
      </c>
      <c r="C40" s="26">
        <f t="shared" ca="1" si="0"/>
        <v>143.45497529175606</v>
      </c>
      <c r="D40" s="37" t="s">
        <v>43</v>
      </c>
      <c r="E40" s="41"/>
    </row>
    <row r="41" spans="1:10" x14ac:dyDescent="0.25">
      <c r="A41">
        <v>8.7999999999999995E-2</v>
      </c>
      <c r="B41" s="37" t="s">
        <v>44</v>
      </c>
      <c r="C41" s="26">
        <f t="shared" ca="1" si="0"/>
        <v>166.1057608641386</v>
      </c>
      <c r="D41" s="37" t="s">
        <v>44</v>
      </c>
      <c r="E41" s="41"/>
    </row>
    <row r="42" spans="1:10" x14ac:dyDescent="0.25">
      <c r="A42">
        <v>0.13</v>
      </c>
      <c r="B42" s="37" t="s">
        <v>45</v>
      </c>
      <c r="C42" s="26">
        <f t="shared" ca="1" si="0"/>
        <v>245.3835103674775</v>
      </c>
      <c r="D42" s="37"/>
      <c r="E42" s="41"/>
    </row>
    <row r="43" spans="1:10" ht="15.75" thickBot="1" x14ac:dyDescent="0.3">
      <c r="A43">
        <v>9.4E-2</v>
      </c>
      <c r="B43" s="38" t="s">
        <v>46</v>
      </c>
      <c r="C43" s="39">
        <f t="shared" ca="1" si="0"/>
        <v>177.43115365032989</v>
      </c>
      <c r="D43" s="38" t="s">
        <v>46</v>
      </c>
      <c r="E43" s="39"/>
    </row>
    <row r="44" spans="1:10" ht="15.75" thickBot="1" x14ac:dyDescent="0.3">
      <c r="B44" s="42" t="s">
        <v>51</v>
      </c>
      <c r="C44" s="27">
        <f>C21</f>
        <v>6960.6935154846233</v>
      </c>
      <c r="D44" s="12" t="s">
        <v>51</v>
      </c>
    </row>
    <row r="45" spans="1:10" x14ac:dyDescent="0.25">
      <c r="B45" s="12"/>
      <c r="C45" s="12"/>
      <c r="D45" s="12"/>
    </row>
  </sheetData>
  <mergeCells count="6">
    <mergeCell ref="J14:K14"/>
    <mergeCell ref="B34:E34"/>
    <mergeCell ref="B35:C35"/>
    <mergeCell ref="D35:E35"/>
    <mergeCell ref="B14:C14"/>
    <mergeCell ref="F14:G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MA1</vt:lpstr>
      <vt:lpstr>MA2</vt:lpstr>
      <vt:lpstr>MA3</vt:lpstr>
      <vt:lpstr>MA4</vt:lpstr>
      <vt:lpstr>MA5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Conall DE PAOR</dc:creator>
  <cp:lastModifiedBy>Conall DE PAOR</cp:lastModifiedBy>
  <dcterms:created xsi:type="dcterms:W3CDTF">2024-06-25T09:48:32Z</dcterms:created>
  <dcterms:modified xsi:type="dcterms:W3CDTF">2025-02-18T09:46:24Z</dcterms:modified>
</cp:coreProperties>
</file>