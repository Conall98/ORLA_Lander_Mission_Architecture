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epaor2\Desktop\ORLA_Lander_Mission_Architecture\DBs\"/>
    </mc:Choice>
  </mc:AlternateContent>
  <xr:revisionPtr revIDLastSave="0" documentId="13_ncr:1_{8F8D700E-BB37-4BA9-9D81-994005CEABE6}" xr6:coauthVersionLast="47" xr6:coauthVersionMax="47" xr10:uidLastSave="{00000000-0000-0000-0000-000000000000}"/>
  <bookViews>
    <workbookView xWindow="-135" yWindow="-135" windowWidth="29070" windowHeight="15750" xr2:uid="{9B8D5217-16A3-40F0-9DB1-748038C9A303}"/>
  </bookViews>
  <sheets>
    <sheet name="Feuil1" sheetId="1" r:id="rId1"/>
  </sheets>
  <definedNames>
    <definedName name="_xlchart.v1.0" hidden="1">Feuil1!$B$3:$B$15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<sst xmlns="http://schemas.openxmlformats.org/spreadsheetml/2006/main" count="52" uniqueCount="44">
  <si>
    <t>Chang'e 6</t>
  </si>
  <si>
    <t>SLIM</t>
  </si>
  <si>
    <t>Peregrine</t>
  </si>
  <si>
    <t>Odysseus</t>
  </si>
  <si>
    <t>Luna 25</t>
  </si>
  <si>
    <t>Hakuto-R M1</t>
  </si>
  <si>
    <t>Vikram 2</t>
  </si>
  <si>
    <t>OMOTENASHI</t>
  </si>
  <si>
    <t>Vikram 1</t>
  </si>
  <si>
    <t>Chang'e 4</t>
  </si>
  <si>
    <t>Beresheet</t>
  </si>
  <si>
    <t>Chang'e 3</t>
  </si>
  <si>
    <t>Spacecraft</t>
  </si>
  <si>
    <t>year</t>
  </si>
  <si>
    <t>total mass (kg)</t>
  </si>
  <si>
    <t>payload mass (kg)</t>
  </si>
  <si>
    <t>sources</t>
  </si>
  <si>
    <t>\cite{AstroboticPayloadGuide}</t>
  </si>
  <si>
    <t>\cite{Hakuto}</t>
  </si>
  <si>
    <t>Chang'e 5</t>
  </si>
  <si>
    <t>\cite{spaceflight101change5}</t>
  </si>
  <si>
    <t>\cite{Change4}</t>
  </si>
  <si>
    <t>\cite{Beresheet}</t>
  </si>
  <si>
    <t>\cite{Change3}</t>
  </si>
  <si>
    <t>\cite{ChangE5Skyrocket}</t>
  </si>
  <si>
    <t>-</t>
  </si>
  <si>
    <t>\cite{JAXASLIMMediaKit} \cite{PlanetarySLIM}</t>
  </si>
  <si>
    <t>\cite{NSSDCIM1}  \cite{SpaceNewsIM1}</t>
  </si>
  <si>
    <t>\cite{omotensh} \cite{JapanForwardOmotenashi}</t>
  </si>
  <si>
    <t>\cite{LunaGlobSkyrocket} \cite{RTVILuna25}</t>
  </si>
  <si>
    <t>\cite{Chandrayaan-3} \cite{TimesOfIndiaChandrayaan3} \cite{BBCIndiaNews}</t>
  </si>
  <si>
    <t>\cite{Vikram} \cite{TimesOfIndiaChandrayaan3}</t>
  </si>
  <si>
    <t>Mission</t>
  </si>
  <si>
    <t>Chang'e 5 lander</t>
  </si>
  <si>
    <t>Chang'e 4 lander</t>
  </si>
  <si>
    <t>Beresheet lander</t>
  </si>
  <si>
    <t>Chang'e 3 lander</t>
  </si>
  <si>
    <t>IM-1</t>
  </si>
  <si>
    <t>Life Cycle Mission Cost (M$)</t>
  </si>
  <si>
    <t>Luna 25 Lander</t>
  </si>
  <si>
    <t>Hakuto-R</t>
  </si>
  <si>
    <t>Chandrayaan 3</t>
  </si>
  <si>
    <t>Chandrayaan 2</t>
  </si>
  <si>
    <t>Peregrine 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</si>
</sst>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1" applyFill="1" applyBorder="1" applyAlignment="1"/>
    <xf numFmtId="0" fontId="1" fillId="0" borderId="0" xfId="1" applyFill="1" applyBorder="1"/>
    <xf numFmtId="0" fontId="0" fillId="0" borderId="0" xfId="0" applyAlignment="1">
      <alignment horizontal="left"/>
    </xf>
    <xf numFmtId="0" fontId="0" fillId="0" borderId="0" xfId="0" quotePrefix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Recent Lunar</a:t>
            </a:r>
            <a:r>
              <a:rPr lang="fr-FR" baseline="0"/>
              <a:t> Missions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4.9292901662726402E-2"/>
                  <c:y val="-7.2466124755006731E-2"/>
                </c:manualLayout>
              </c:layout>
              <c:tx>
                <c:rich>
                  <a:bodyPr/>
                  <a:lstStyle/>
                  <a:p>
                    <a:fld id="{4BED97F1-1CE7-4EFB-9A43-0E1C0298BF05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C2E-4B01-9877-C41D20F174F4}"/>
                </c:ext>
              </c:extLst>
            </c:dLbl>
            <c:dLbl>
              <c:idx val="1"/>
              <c:layout>
                <c:manualLayout>
                  <c:x val="-3.464853493809552E-2"/>
                  <c:y val="-5.4890611458335216E-2"/>
                </c:manualLayout>
              </c:layout>
              <c:tx>
                <c:rich>
                  <a:bodyPr/>
                  <a:lstStyle/>
                  <a:p>
                    <a:fld id="{8FCD6775-9CF8-4D9F-8192-67BAEF7FD5D3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BC2E-4B01-9877-C41D20F174F4}"/>
                </c:ext>
              </c:extLst>
            </c:dLbl>
            <c:dLbl>
              <c:idx val="2"/>
              <c:layout>
                <c:manualLayout>
                  <c:x val="-5.3166604794748051E-2"/>
                  <c:y val="-6.3678368106670907E-2"/>
                </c:manualLayout>
              </c:layout>
              <c:tx>
                <c:rich>
                  <a:bodyPr/>
                  <a:lstStyle/>
                  <a:p>
                    <a:fld id="{9681939C-90B0-4A32-B1A6-987C9CF8DA63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C2E-4B01-9877-C41D20F174F4}"/>
                </c:ext>
              </c:extLst>
            </c:dLbl>
            <c:dLbl>
              <c:idx val="3"/>
              <c:layout>
                <c:manualLayout>
                  <c:x val="-2.8813687370964486E-2"/>
                  <c:y val="-8.0276502957218498E-2"/>
                </c:manualLayout>
              </c:layout>
              <c:tx>
                <c:rich>
                  <a:bodyPr/>
                  <a:lstStyle/>
                  <a:p>
                    <a:fld id="{9778213A-0063-45D5-B495-2689E6CDEE74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BC2E-4B01-9877-C41D20F174F4}"/>
                </c:ext>
              </c:extLst>
            </c:dLbl>
            <c:dLbl>
              <c:idx val="4"/>
              <c:layout>
                <c:manualLayout>
                  <c:x val="-0.10200999068664804"/>
                  <c:y val="-0.12798744803892906"/>
                </c:manualLayout>
              </c:layout>
              <c:tx>
                <c:rich>
                  <a:bodyPr/>
                  <a:lstStyle/>
                  <a:p>
                    <a:fld id="{5A00D353-4BDF-4C8A-94CC-1ABC419E2E9C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C2E-4B01-9877-C41D20F174F4}"/>
                </c:ext>
              </c:extLst>
            </c:dLbl>
            <c:dLbl>
              <c:idx val="5"/>
              <c:layout>
                <c:manualLayout>
                  <c:x val="-0.13894127377998347"/>
                  <c:y val="-5.9126033383096022E-2"/>
                </c:manualLayout>
              </c:layout>
              <c:tx>
                <c:rich>
                  <a:bodyPr/>
                  <a:lstStyle/>
                  <a:p>
                    <a:fld id="{35CE8B2C-50C5-4A31-99CC-64BC5B226940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BC2E-4B01-9877-C41D20F174F4}"/>
                </c:ext>
              </c:extLst>
            </c:dLbl>
            <c:dLbl>
              <c:idx val="6"/>
              <c:layout>
                <c:manualLayout>
                  <c:x val="-0.1436921253329686"/>
                  <c:y val="-5.7449786101159535E-2"/>
                </c:manualLayout>
              </c:layout>
              <c:tx>
                <c:rich>
                  <a:bodyPr/>
                  <a:lstStyle/>
                  <a:p>
                    <a:fld id="{AF3E038C-3BC9-45CA-87AA-F62BFA657FF9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BC2E-4B01-9877-C41D20F174F4}"/>
                </c:ext>
              </c:extLst>
            </c:dLbl>
            <c:dLbl>
              <c:idx val="7"/>
              <c:layout>
                <c:manualLayout>
                  <c:x val="-0.12252697941293318"/>
                  <c:y val="-7.0752512208581211E-2"/>
                </c:manualLayout>
              </c:layout>
              <c:tx>
                <c:rich>
                  <a:bodyPr/>
                  <a:lstStyle/>
                  <a:p>
                    <a:fld id="{7088FBF2-A988-4DAC-B994-C7AD676A23BE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BC2E-4B01-9877-C41D20F174F4}"/>
                </c:ext>
              </c:extLst>
            </c:dLbl>
            <c:dLbl>
              <c:idx val="8"/>
              <c:layout>
                <c:manualLayout>
                  <c:x val="-4.7098858300280821E-2"/>
                  <c:y val="7.2958446712116209E-2"/>
                </c:manualLayout>
              </c:layout>
              <c:tx>
                <c:rich>
                  <a:bodyPr/>
                  <a:lstStyle/>
                  <a:p>
                    <a:fld id="{0A1F4E24-842C-4977-B405-28F3F5E02B7D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BC2E-4B01-9877-C41D20F174F4}"/>
                </c:ext>
              </c:extLst>
            </c:dLbl>
            <c:dLbl>
              <c:idx val="9"/>
              <c:layout>
                <c:manualLayout>
                  <c:x val="-6.5419719557387887E-2"/>
                  <c:y val="-4.1701365043065278E-2"/>
                </c:manualLayout>
              </c:layout>
              <c:tx>
                <c:rich>
                  <a:bodyPr/>
                  <a:lstStyle/>
                  <a:p>
                    <a:fld id="{ECF7EF37-9279-4319-8DCD-6C01C7EE24DB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BC2E-4B01-9877-C41D20F174F4}"/>
                </c:ext>
              </c:extLst>
            </c:dLbl>
            <c:dLbl>
              <c:idx val="10"/>
              <c:layout>
                <c:manualLayout>
                  <c:x val="-4.9693440925343509E-2"/>
                  <c:y val="4.91934465477782E-2"/>
                </c:manualLayout>
              </c:layout>
              <c:tx>
                <c:rich>
                  <a:bodyPr/>
                  <a:lstStyle/>
                  <a:p>
                    <a:fld id="{35D7A8C4-C870-4250-B821-2AC384846BDA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BC2E-4B01-9877-C41D20F174F4}"/>
                </c:ext>
              </c:extLst>
            </c:dLbl>
            <c:dLbl>
              <c:idx val="11"/>
              <c:layout>
                <c:manualLayout>
                  <c:x val="-5.0308773438059638E-2"/>
                  <c:y val="-6.3580111300051728E-2"/>
                </c:manualLayout>
              </c:layout>
              <c:tx>
                <c:rich>
                  <a:bodyPr/>
                  <a:lstStyle/>
                  <a:p>
                    <a:fld id="{0BDFE623-F50E-49DF-B276-319CE303B013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BC2E-4B01-9877-C41D20F174F4}"/>
                </c:ext>
              </c:extLst>
            </c:dLbl>
            <c:dLbl>
              <c:idx val="12"/>
              <c:layout>
                <c:manualLayout>
                  <c:x val="-4.4190878125346007E-2"/>
                  <c:y val="5.0123080489277383E-2"/>
                </c:manualLayout>
              </c:layout>
              <c:tx>
                <c:rich>
                  <a:bodyPr/>
                  <a:lstStyle/>
                  <a:p>
                    <a:fld id="{13D7C3FD-C92E-4CF5-B76A-033CFB2859B2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BC2E-4B01-9877-C41D20F174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Feuil1!$B$3:$B$15</c:f>
              <c:numCache>
                <c:formatCode>General</c:formatCode>
                <c:ptCount val="13"/>
                <c:pt idx="0">
                  <c:v>2024</c:v>
                </c:pt>
                <c:pt idx="1">
                  <c:v>2024</c:v>
                </c:pt>
                <c:pt idx="2">
                  <c:v>2024</c:v>
                </c:pt>
                <c:pt idx="3">
                  <c:v>2024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2022</c:v>
                </c:pt>
                <c:pt idx="8">
                  <c:v>2020</c:v>
                </c:pt>
                <c:pt idx="9">
                  <c:v>2019</c:v>
                </c:pt>
                <c:pt idx="10">
                  <c:v>2019</c:v>
                </c:pt>
                <c:pt idx="11">
                  <c:v>2019</c:v>
                </c:pt>
                <c:pt idx="12">
                  <c:v>2013</c:v>
                </c:pt>
              </c:numCache>
            </c:numRef>
          </c:xVal>
          <c:yVal>
            <c:numRef>
              <c:f>Feuil1!$E$3:$E$15</c:f>
              <c:numCache>
                <c:formatCode>General</c:formatCode>
                <c:ptCount val="13"/>
                <c:pt idx="0">
                  <c:v>3200</c:v>
                </c:pt>
                <c:pt idx="1">
                  <c:v>710</c:v>
                </c:pt>
                <c:pt idx="2">
                  <c:v>1283</c:v>
                </c:pt>
                <c:pt idx="3">
                  <c:v>1908</c:v>
                </c:pt>
                <c:pt idx="4">
                  <c:v>1750</c:v>
                </c:pt>
                <c:pt idx="5">
                  <c:v>1000</c:v>
                </c:pt>
                <c:pt idx="6">
                  <c:v>1750</c:v>
                </c:pt>
                <c:pt idx="7">
                  <c:v>14.6</c:v>
                </c:pt>
                <c:pt idx="8">
                  <c:v>3800</c:v>
                </c:pt>
                <c:pt idx="9">
                  <c:v>1471</c:v>
                </c:pt>
                <c:pt idx="10">
                  <c:v>3640</c:v>
                </c:pt>
                <c:pt idx="11">
                  <c:v>585</c:v>
                </c:pt>
                <c:pt idx="12">
                  <c:v>3780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Feuil1!$D$3:$D$15</c15:f>
                <c15:dlblRangeCache>
                  <c:ptCount val="13"/>
                  <c:pt idx="0">
                    <c:v>Chang'e 6</c:v>
                  </c:pt>
                  <c:pt idx="1">
                    <c:v>SLIM</c:v>
                  </c:pt>
                  <c:pt idx="2">
                    <c:v>Peregrine M1</c:v>
                  </c:pt>
                  <c:pt idx="3">
                    <c:v>IM-1</c:v>
                  </c:pt>
                  <c:pt idx="4">
                    <c:v>Luna 25</c:v>
                  </c:pt>
                  <c:pt idx="5">
                    <c:v>Hakuto-R M1</c:v>
                  </c:pt>
                  <c:pt idx="6">
                    <c:v>Chandrayaan 3</c:v>
                  </c:pt>
                  <c:pt idx="7">
                    <c:v>OMOTENASHI</c:v>
                  </c:pt>
                  <c:pt idx="8">
                    <c:v>Chang'e 5</c:v>
                  </c:pt>
                  <c:pt idx="9">
                    <c:v>Chandrayaan 2</c:v>
                  </c:pt>
                  <c:pt idx="10">
                    <c:v>Chang'e 4</c:v>
                  </c:pt>
                  <c:pt idx="11">
                    <c:v>Beresheet</c:v>
                  </c:pt>
                  <c:pt idx="12">
                    <c:v>Chang'e 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C2E-4B01-9877-C41D20F174F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94882512"/>
        <c:axId val="120689200"/>
      </c:scatterChart>
      <c:valAx>
        <c:axId val="209488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fr-FR"/>
          </a:p>
        </c:txPr>
        <c:crossAx val="120689200"/>
        <c:crossesAt val="0"/>
        <c:crossBetween val="midCat"/>
        <c:majorUnit val="1"/>
        <c:minorUnit val="0.5"/>
      </c:valAx>
      <c:valAx>
        <c:axId val="12068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Total Mass [kg]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fr-FR"/>
          </a:p>
        </c:txPr>
        <c:crossAx val="2094882512"/>
        <c:crosses val="autoZero"/>
        <c:crossBetween val="midCat"/>
        <c:majorUnit val="5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2944CD31-802C-473D-8650-E3FBEB71158C}"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18</xdr:row>
      <xdr:rowOff>28574</xdr:rowOff>
    </xdr:from>
    <xdr:to>
      <xdr:col>7</xdr:col>
      <xdr:colOff>228600</xdr:colOff>
      <xdr:row>33</xdr:row>
      <xdr:rowOff>61459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61E7465-3F4D-D721-DA6B-1089B336BD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114300</xdr:colOff>
      <xdr:row>21</xdr:row>
      <xdr:rowOff>176211</xdr:rowOff>
    </xdr:from>
    <xdr:to>
      <xdr:col>15</xdr:col>
      <xdr:colOff>666750</xdr:colOff>
      <xdr:row>37</xdr:row>
      <xdr:rowOff>9524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phique 2">
              <a:extLst>
                <a:ext uri="{FF2B5EF4-FFF2-40B4-BE49-F238E27FC236}">
                  <a16:creationId xmlns:a16="http://schemas.microsoft.com/office/drawing/2014/main" id="{25BCCB91-7497-2696-E2EF-4E29E828DE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63275" y="4176711"/>
              <a:ext cx="5124450" cy="28813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55D17-879F-4BD2-AFB3-F96D608713F1}">
  <dimension ref="B2:H15"/>
  <sheetViews>
    <sheetView tabSelected="1" workbookViewId="0">
      <selection activeCell="H30" sqref="H30"/>
    </sheetView>
  </sheetViews>
  <sheetFormatPr baseColWidth="10" defaultRowHeight="15" x14ac:dyDescent="0.25"/>
  <cols>
    <col min="3" max="3" width="16.140625" customWidth="1"/>
    <col min="4" max="4" width="19.42578125" bestFit="1" customWidth="1"/>
    <col min="5" max="5" width="18.85546875" customWidth="1"/>
    <col min="6" max="6" width="20.140625" customWidth="1"/>
    <col min="7" max="7" width="25.85546875" bestFit="1" customWidth="1"/>
    <col min="8" max="8" width="28" customWidth="1"/>
  </cols>
  <sheetData>
    <row r="2" spans="2:8" x14ac:dyDescent="0.25">
      <c r="B2" s="1" t="s">
        <v>13</v>
      </c>
      <c r="C2" s="1" t="s">
        <v>12</v>
      </c>
      <c r="D2" s="1" t="s">
        <v>32</v>
      </c>
      <c r="E2" s="1" t="s">
        <v>14</v>
      </c>
      <c r="F2" s="1" t="s">
        <v>15</v>
      </c>
      <c r="G2" s="1" t="s">
        <v>38</v>
      </c>
      <c r="H2" s="1" t="s">
        <v>16</v>
      </c>
    </row>
    <row r="3" spans="2:8" x14ac:dyDescent="0.25">
      <c r="B3" s="1">
        <v>2024</v>
      </c>
      <c r="C3" s="1" t="s">
        <v>0</v>
      </c>
      <c r="D3" s="1" t="s">
        <v>0</v>
      </c>
      <c r="E3" s="1">
        <v>3200</v>
      </c>
      <c r="F3" s="1">
        <v>700</v>
      </c>
      <c r="G3" s="5" t="s">
        <v>25</v>
      </c>
      <c r="H3" s="4" t="s">
        <v>24</v>
      </c>
    </row>
    <row r="4" spans="2:8" x14ac:dyDescent="0.25">
      <c r="B4" s="1">
        <v>2024</v>
      </c>
      <c r="C4" s="1" t="s">
        <v>1</v>
      </c>
      <c r="D4" s="1" t="s">
        <v>1</v>
      </c>
      <c r="E4" s="1">
        <v>710</v>
      </c>
      <c r="F4" s="1">
        <v>20</v>
      </c>
      <c r="G4" s="1">
        <v>120</v>
      </c>
      <c r="H4" t="s">
        <v>26</v>
      </c>
    </row>
    <row r="5" spans="2:8" x14ac:dyDescent="0.25">
      <c r="B5" s="1">
        <v>2024</v>
      </c>
      <c r="C5" s="1" t="s">
        <v>2</v>
      </c>
      <c r="D5" s="1" t="s">
        <v>43</v>
      </c>
      <c r="E5" s="1">
        <v>1283</v>
      </c>
      <c r="F5" s="1">
        <v>90</v>
      </c>
      <c r="G5" s="5" t="s">
        <v>25</v>
      </c>
      <c r="H5" s="2" t="s">
        <v>17</v>
      </c>
    </row>
    <row r="6" spans="2:8" x14ac:dyDescent="0.25">
      <c r="B6" s="1">
        <v>2024</v>
      </c>
      <c r="C6" s="1" t="s">
        <v>3</v>
      </c>
      <c r="D6" s="1" t="s">
        <v>37</v>
      </c>
      <c r="E6" s="1">
        <v>1908</v>
      </c>
      <c r="F6" s="1">
        <v>100</v>
      </c>
      <c r="G6" s="1">
        <v>118</v>
      </c>
      <c r="H6" s="2" t="s">
        <v>27</v>
      </c>
    </row>
    <row r="7" spans="2:8" x14ac:dyDescent="0.25">
      <c r="B7" s="1">
        <v>2023</v>
      </c>
      <c r="C7" s="1" t="s">
        <v>39</v>
      </c>
      <c r="D7" s="1" t="s">
        <v>4</v>
      </c>
      <c r="E7" s="1">
        <v>1750</v>
      </c>
      <c r="F7" s="1">
        <v>30</v>
      </c>
      <c r="G7" s="1">
        <v>135</v>
      </c>
      <c r="H7" t="s">
        <v>29</v>
      </c>
    </row>
    <row r="8" spans="2:8" x14ac:dyDescent="0.25">
      <c r="B8" s="1">
        <v>2023</v>
      </c>
      <c r="C8" s="1" t="s">
        <v>40</v>
      </c>
      <c r="D8" s="1" t="s">
        <v>5</v>
      </c>
      <c r="E8" s="1">
        <v>1000</v>
      </c>
      <c r="F8" s="1">
        <v>30</v>
      </c>
      <c r="G8" s="5" t="s">
        <v>25</v>
      </c>
      <c r="H8" t="s">
        <v>18</v>
      </c>
    </row>
    <row r="9" spans="2:8" x14ac:dyDescent="0.25">
      <c r="B9" s="1">
        <v>2023</v>
      </c>
      <c r="C9" s="1" t="s">
        <v>6</v>
      </c>
      <c r="D9" s="1" t="s">
        <v>41</v>
      </c>
      <c r="E9" s="1">
        <v>1750</v>
      </c>
      <c r="F9" s="1">
        <v>26</v>
      </c>
      <c r="G9" s="1">
        <v>72</v>
      </c>
      <c r="H9" s="3" t="s">
        <v>30</v>
      </c>
    </row>
    <row r="10" spans="2:8" x14ac:dyDescent="0.25">
      <c r="B10" s="1">
        <v>2022</v>
      </c>
      <c r="C10" s="1" t="s">
        <v>7</v>
      </c>
      <c r="D10" s="1" t="s">
        <v>7</v>
      </c>
      <c r="E10" s="1">
        <v>14.6</v>
      </c>
      <c r="F10" s="1">
        <v>0.1</v>
      </c>
      <c r="G10" s="1">
        <v>6</v>
      </c>
      <c r="H10" t="s">
        <v>28</v>
      </c>
    </row>
    <row r="11" spans="2:8" x14ac:dyDescent="0.25">
      <c r="B11" s="1">
        <v>2020</v>
      </c>
      <c r="C11" s="1" t="s">
        <v>33</v>
      </c>
      <c r="D11" s="1" t="s">
        <v>19</v>
      </c>
      <c r="E11" s="1">
        <v>3800</v>
      </c>
      <c r="F11" s="1">
        <v>800</v>
      </c>
      <c r="G11" s="5" t="s">
        <v>25</v>
      </c>
      <c r="H11" t="s">
        <v>20</v>
      </c>
    </row>
    <row r="12" spans="2:8" x14ac:dyDescent="0.25">
      <c r="B12" s="1">
        <v>2019</v>
      </c>
      <c r="C12" s="1" t="s">
        <v>8</v>
      </c>
      <c r="D12" s="1" t="s">
        <v>42</v>
      </c>
      <c r="E12" s="1">
        <v>1471</v>
      </c>
      <c r="F12" s="1">
        <v>27</v>
      </c>
      <c r="G12" s="1">
        <v>115</v>
      </c>
      <c r="H12" t="s">
        <v>31</v>
      </c>
    </row>
    <row r="13" spans="2:8" x14ac:dyDescent="0.25">
      <c r="B13" s="1">
        <v>2019</v>
      </c>
      <c r="C13" s="1" t="s">
        <v>34</v>
      </c>
      <c r="D13" s="1" t="s">
        <v>9</v>
      </c>
      <c r="E13" s="1">
        <v>3640</v>
      </c>
      <c r="F13" s="1">
        <v>170</v>
      </c>
      <c r="G13" s="5" t="s">
        <v>25</v>
      </c>
      <c r="H13" t="s">
        <v>21</v>
      </c>
    </row>
    <row r="14" spans="2:8" x14ac:dyDescent="0.25">
      <c r="B14" s="1">
        <v>2019</v>
      </c>
      <c r="C14" s="1" t="s">
        <v>35</v>
      </c>
      <c r="D14" s="1" t="s">
        <v>10</v>
      </c>
      <c r="E14" s="1">
        <v>585</v>
      </c>
      <c r="F14" s="1">
        <v>0.1</v>
      </c>
      <c r="G14" s="1">
        <v>100</v>
      </c>
      <c r="H14" t="s">
        <v>22</v>
      </c>
    </row>
    <row r="15" spans="2:8" x14ac:dyDescent="0.25">
      <c r="B15" s="1">
        <v>2013</v>
      </c>
      <c r="C15" s="1" t="s">
        <v>36</v>
      </c>
      <c r="D15" s="1" t="s">
        <v>11</v>
      </c>
      <c r="E15" s="1">
        <v>3780</v>
      </c>
      <c r="F15" s="1">
        <v>170</v>
      </c>
      <c r="G15" s="5" t="s">
        <v>25</v>
      </c>
      <c r="H15" t="s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Conall DE PAOR</dc:creator>
  <cp:lastModifiedBy>Conall DE PAOR</cp:lastModifiedBy>
  <dcterms:created xsi:type="dcterms:W3CDTF">2024-11-22T12:50:11Z</dcterms:created>
  <dcterms:modified xsi:type="dcterms:W3CDTF">2025-04-01T09:46:16Z</dcterms:modified>
</cp:coreProperties>
</file>