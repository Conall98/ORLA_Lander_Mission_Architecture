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depaor2\Desktop\ORLA_Lander_Mission_Architecture\TP files\"/>
    </mc:Choice>
  </mc:AlternateContent>
  <xr:revisionPtr revIDLastSave="0" documentId="13_ncr:1_{4A2028FC-0D45-4A54-9E71-B6382BB712C8}" xr6:coauthVersionLast="47" xr6:coauthVersionMax="47" xr10:uidLastSave="{00000000-0000-0000-0000-000000000000}"/>
  <bookViews>
    <workbookView xWindow="-120" yWindow="-120" windowWidth="29040" windowHeight="15720" xr2:uid="{C1D0548A-5F2E-4CED-8714-89F76271ED53}"/>
  </bookViews>
  <sheets>
    <sheet name="Subsystem level data" sheetId="1" r:id="rId1"/>
    <sheet name="System level data" sheetId="2" r:id="rId2"/>
    <sheet name="project level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7" i="2" l="1"/>
  <c r="L77" i="2"/>
  <c r="K77" i="2"/>
  <c r="M62" i="2"/>
  <c r="L62" i="2"/>
  <c r="K62" i="2"/>
  <c r="AN46" i="2"/>
  <c r="AM46" i="2"/>
  <c r="AL46" i="2"/>
  <c r="AG46" i="2"/>
  <c r="AF46" i="2"/>
  <c r="AE46" i="2"/>
  <c r="Z46" i="2"/>
  <c r="Y46" i="2"/>
  <c r="X46" i="2"/>
  <c r="S46" i="2"/>
  <c r="R46" i="2"/>
  <c r="Q46" i="2"/>
  <c r="L46" i="2"/>
  <c r="K46" i="2"/>
  <c r="J46" i="2"/>
  <c r="E46" i="2"/>
  <c r="F46" i="2"/>
  <c r="D46" i="2"/>
  <c r="C29" i="2"/>
  <c r="D29" i="2"/>
  <c r="B29" i="2"/>
  <c r="B28" i="2"/>
  <c r="E28" i="2"/>
  <c r="F28" i="2"/>
  <c r="G28" i="2"/>
  <c r="H28" i="2"/>
  <c r="I28" i="2"/>
  <c r="J28" i="2"/>
  <c r="D28" i="2"/>
  <c r="C28" i="2"/>
</calcChain>
</file>

<file path=xl/sharedStrings.xml><?xml version="1.0" encoding="utf-8"?>
<sst xmlns="http://schemas.openxmlformats.org/spreadsheetml/2006/main" count="194" uniqueCount="59">
  <si>
    <t>AVIO</t>
  </si>
  <si>
    <t>OTH</t>
  </si>
  <si>
    <t>POW</t>
  </si>
  <si>
    <t>STR</t>
  </si>
  <si>
    <t>THER</t>
  </si>
  <si>
    <t>PRPLN</t>
  </si>
  <si>
    <t>DEV</t>
  </si>
  <si>
    <t>PROD</t>
  </si>
  <si>
    <t>MASS</t>
  </si>
  <si>
    <t>Analogy</t>
  </si>
  <si>
    <t>Programmable Information Processor</t>
  </si>
  <si>
    <t>ADCS Subsystem</t>
  </si>
  <si>
    <t>EPS Subsystem</t>
  </si>
  <si>
    <t>Structure, Primary</t>
  </si>
  <si>
    <t>Miscellaneous Passive Thermal</t>
  </si>
  <si>
    <t>Motor - Thruster Liquid + Tank Propellant/Propulsion</t>
  </si>
  <si>
    <t>tanks</t>
  </si>
  <si>
    <t>motor</t>
  </si>
  <si>
    <t>dev</t>
  </si>
  <si>
    <t>prod</t>
  </si>
  <si>
    <t>Sys level cost</t>
  </si>
  <si>
    <t>subsystem sum cost</t>
  </si>
  <si>
    <t>Total</t>
  </si>
  <si>
    <t>prpln</t>
  </si>
  <si>
    <t>THR</t>
  </si>
  <si>
    <t>TOTAL</t>
  </si>
  <si>
    <t>Design</t>
  </si>
  <si>
    <t>Fabrication</t>
  </si>
  <si>
    <t>Development Engineering</t>
  </si>
  <si>
    <t>Development Manufacturing</t>
  </si>
  <si>
    <t>Development Tooling and Test</t>
  </si>
  <si>
    <t>Production Engineering</t>
  </si>
  <si>
    <t>Production Manufacturing</t>
  </si>
  <si>
    <t>Production Tooling and Test</t>
  </si>
  <si>
    <t>assembly overhead</t>
  </si>
  <si>
    <t>overall</t>
  </si>
  <si>
    <t>Costs : Spacecraft Assembly (ORLA) - [Space Assembly] \ Currency in EUR (€) (as spent)</t>
  </si>
  <si>
    <t>Development</t>
  </si>
  <si>
    <t>Production</t>
  </si>
  <si>
    <t>Spacecraft Assembly (ORLA)</t>
  </si>
  <si>
    <t>Avionics</t>
  </si>
  <si>
    <t>Other</t>
  </si>
  <si>
    <t>Power</t>
  </si>
  <si>
    <t>Structure</t>
  </si>
  <si>
    <t>Thermal</t>
  </si>
  <si>
    <t>Propulsion</t>
  </si>
  <si>
    <t>AVIO = 100</t>
  </si>
  <si>
    <t>AVIO = 200</t>
  </si>
  <si>
    <t>AVIO = 300</t>
  </si>
  <si>
    <t>AVIO = 400</t>
  </si>
  <si>
    <t>AVIO = 500</t>
  </si>
  <si>
    <t>STR + 100</t>
  </si>
  <si>
    <t>STR + 200</t>
  </si>
  <si>
    <t>Costs : MA1 - [System Folder] \ Currency in EUR (€) (as spent)</t>
  </si>
  <si>
    <t>Operation &amp; Support</t>
  </si>
  <si>
    <t>MA1</t>
  </si>
  <si>
    <t>Contruction Launcher 1 (VEGA C)</t>
  </si>
  <si>
    <t>Contruction Launcher 2 (F9 FT)</t>
  </si>
  <si>
    <t>Regular launcher (VEGA 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</si>
</sst>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2" xfId="0" applyNumberFormat="1" applyBorder="1"/>
    <xf numFmtId="3" fontId="0" fillId="0" borderId="3" xfId="0" applyNumberFormat="1" applyBorder="1"/>
    <xf numFmtId="3" fontId="0" fillId="0" borderId="0" xfId="0" applyNumberFormat="1" applyBorder="1"/>
    <xf numFmtId="3" fontId="0" fillId="0" borderId="5" xfId="0" applyNumberFormat="1" applyBorder="1"/>
    <xf numFmtId="3" fontId="0" fillId="0" borderId="0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0" xfId="0" applyNumberFormat="1"/>
    <xf numFmtId="3" fontId="0" fillId="0" borderId="7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1" xfId="0" applyNumberFormat="1" applyBorder="1"/>
    <xf numFmtId="3" fontId="0" fillId="0" borderId="4" xfId="0" applyNumberFormat="1" applyBorder="1"/>
    <xf numFmtId="3" fontId="0" fillId="0" borderId="2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2" xfId="0" applyBorder="1"/>
    <xf numFmtId="3" fontId="0" fillId="0" borderId="13" xfId="0" applyNumberFormat="1" applyBorder="1"/>
    <xf numFmtId="0" fontId="0" fillId="0" borderId="0" xfId="0" applyAlignment="1">
      <alignment vertical="center" wrapText="1"/>
    </xf>
    <xf numFmtId="166" fontId="0" fillId="0" borderId="0" xfId="0" applyNumberFormat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Avionics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38822890478879"/>
          <c:y val="0.22685080422867401"/>
          <c:w val="0.82088550569244212"/>
          <c:h val="0.60924935113454637"/>
        </c:manualLayout>
      </c:layout>
      <c:scatterChart>
        <c:scatterStyle val="lineMarker"/>
        <c:varyColors val="0"/>
        <c:ser>
          <c:idx val="0"/>
          <c:order val="0"/>
          <c:tx>
            <c:v>Production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8458858604090089"/>
                  <c:y val="-0.4289243257947599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7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'Subsystem level data'!$B$4:$F$4</c:f>
              <c:numCache>
                <c:formatCode>#,##0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xVal>
          <c:yVal>
            <c:numRef>
              <c:f>'Subsystem level data'!$B$3:$F$3</c:f>
              <c:numCache>
                <c:formatCode>#,##0</c:formatCode>
                <c:ptCount val="5"/>
                <c:pt idx="0">
                  <c:v>8093211</c:v>
                </c:pt>
                <c:pt idx="1">
                  <c:v>15139995</c:v>
                </c:pt>
                <c:pt idx="2">
                  <c:v>21875672</c:v>
                </c:pt>
                <c:pt idx="3">
                  <c:v>28421847</c:v>
                </c:pt>
                <c:pt idx="4">
                  <c:v>34858619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F3-4005-82E2-F8F941A388BD}"/>
            </c:ext>
          </c:extLst>
        </c:ser>
        <c:ser>
          <c:idx val="1"/>
          <c:order val="1"/>
          <c:tx>
            <c:v>Development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5963752482719713"/>
                  <c:y val="-0.18387258571212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7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'Subsystem level data'!$B$4:$F$4</c:f>
              <c:numCache>
                <c:formatCode>#,##0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xVal>
          <c:yVal>
            <c:numRef>
              <c:f>'Subsystem level data'!$B$2:$F$2</c:f>
              <c:numCache>
                <c:formatCode>#,##0</c:formatCode>
                <c:ptCount val="5"/>
                <c:pt idx="0">
                  <c:v>25626825</c:v>
                </c:pt>
                <c:pt idx="1">
                  <c:v>41640875</c:v>
                </c:pt>
                <c:pt idx="2">
                  <c:v>55307461</c:v>
                </c:pt>
                <c:pt idx="3">
                  <c:v>67645800</c:v>
                </c:pt>
                <c:pt idx="4">
                  <c:v>79100988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F3-4005-82E2-F8F941A38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9910880"/>
        <c:axId val="1589911360"/>
      </c:scatterChart>
      <c:valAx>
        <c:axId val="158991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9911360"/>
        <c:crosses val="autoZero"/>
        <c:crossBetween val="midCat"/>
      </c:valAx>
      <c:valAx>
        <c:axId val="158991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Costs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9910880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Other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38822890478879"/>
          <c:y val="0.16978932788006926"/>
          <c:w val="0.82088550569244212"/>
          <c:h val="0.6663110748244826"/>
        </c:manualLayout>
      </c:layout>
      <c:scatterChart>
        <c:scatterStyle val="lineMarker"/>
        <c:varyColors val="0"/>
        <c:ser>
          <c:idx val="0"/>
          <c:order val="0"/>
          <c:tx>
            <c:v>Production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6298148378176605"/>
                  <c:y val="-0.162268945535396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7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'Subsystem level data'!$B$4:$F$4</c:f>
              <c:numCache>
                <c:formatCode>#,##0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xVal>
          <c:yVal>
            <c:numRef>
              <c:f>'Subsystem level data'!$B$8:$F$8</c:f>
              <c:numCache>
                <c:formatCode>#,##0</c:formatCode>
                <c:ptCount val="5"/>
                <c:pt idx="0">
                  <c:v>15849994</c:v>
                </c:pt>
                <c:pt idx="1">
                  <c:v>29701618</c:v>
                </c:pt>
                <c:pt idx="2">
                  <c:v>43537738</c:v>
                </c:pt>
                <c:pt idx="3">
                  <c:v>57142843.174974002</c:v>
                </c:pt>
                <c:pt idx="4">
                  <c:v>70594792.081210002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B3-4A7A-9E72-9D77CCEC7022}"/>
            </c:ext>
          </c:extLst>
        </c:ser>
        <c:ser>
          <c:idx val="1"/>
          <c:order val="1"/>
          <c:tx>
            <c:v>Development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8221982766832518"/>
                  <c:y val="-0.200634673670670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7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'Subsystem level data'!$B$4:$F$4</c:f>
              <c:numCache>
                <c:formatCode>#,##0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xVal>
          <c:yVal>
            <c:numRef>
              <c:f>'Subsystem level data'!$B$7:$F$7</c:f>
              <c:numCache>
                <c:formatCode>#,##0</c:formatCode>
                <c:ptCount val="5"/>
                <c:pt idx="0">
                  <c:v>21418809</c:v>
                </c:pt>
                <c:pt idx="1">
                  <c:v>34794958</c:v>
                </c:pt>
                <c:pt idx="2">
                  <c:v>46225789</c:v>
                </c:pt>
                <c:pt idx="3">
                  <c:v>56538131.641367003</c:v>
                </c:pt>
                <c:pt idx="4">
                  <c:v>66112351.669859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EB3-4A7A-9E72-9D77CCEC7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9910880"/>
        <c:axId val="1589911360"/>
      </c:scatterChart>
      <c:valAx>
        <c:axId val="158991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9911360"/>
        <c:crosses val="autoZero"/>
        <c:crossBetween val="midCat"/>
      </c:valAx>
      <c:valAx>
        <c:axId val="158991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Costs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9910880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POW</a:t>
            </a:r>
          </a:p>
        </c:rich>
      </c:tx>
      <c:layout>
        <c:manualLayout>
          <c:xMode val="edge"/>
          <c:yMode val="edge"/>
          <c:x val="0.46424743904238835"/>
          <c:y val="2.44549624317860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38822890478879"/>
          <c:y val="0.15348601959221192"/>
          <c:w val="0.82088550569244212"/>
          <c:h val="0.68261438311234002"/>
        </c:manualLayout>
      </c:layout>
      <c:scatterChart>
        <c:scatterStyle val="lineMarker"/>
        <c:varyColors val="0"/>
        <c:ser>
          <c:idx val="0"/>
          <c:order val="0"/>
          <c:tx>
            <c:v>Production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7583713917531665"/>
                  <c:y val="-0.370311996539077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7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'Subsystem level data'!$B$4:$F$4</c:f>
              <c:numCache>
                <c:formatCode>#,##0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xVal>
          <c:yVal>
            <c:numRef>
              <c:f>'Subsystem level data'!$B$13:$F$13</c:f>
              <c:numCache>
                <c:formatCode>#,##0</c:formatCode>
                <c:ptCount val="5"/>
                <c:pt idx="0">
                  <c:v>10119666.936223</c:v>
                </c:pt>
                <c:pt idx="1">
                  <c:v>19112371.345357999</c:v>
                </c:pt>
                <c:pt idx="2">
                  <c:v>27768464.922476999</c:v>
                </c:pt>
                <c:pt idx="3">
                  <c:v>36229331.947820999</c:v>
                </c:pt>
                <c:pt idx="4">
                  <c:v>44555149.351457998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8E-4A89-8BB6-6CD7D837ADF4}"/>
            </c:ext>
          </c:extLst>
        </c:ser>
        <c:ser>
          <c:idx val="1"/>
          <c:order val="1"/>
          <c:tx>
            <c:v>Development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3382917872305079"/>
                  <c:y val="-0.145813515827688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7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'Subsystem level data'!$B$4:$F$4</c:f>
              <c:numCache>
                <c:formatCode>#,##0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xVal>
          <c:yVal>
            <c:numRef>
              <c:f>'Subsystem level data'!$B$12:$F$12</c:f>
              <c:numCache>
                <c:formatCode>#,##0</c:formatCode>
                <c:ptCount val="5"/>
                <c:pt idx="0">
                  <c:v>22406281.668520998</c:v>
                </c:pt>
                <c:pt idx="1">
                  <c:v>36407836.716948003</c:v>
                </c:pt>
                <c:pt idx="2">
                  <c:v>48356933.871104002</c:v>
                </c:pt>
                <c:pt idx="3">
                  <c:v>59158883.194568001</c:v>
                </c:pt>
                <c:pt idx="4">
                  <c:v>69160317.103299007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48E-4A89-8BB6-6CD7D837A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9910880"/>
        <c:axId val="1589911360"/>
      </c:scatterChart>
      <c:valAx>
        <c:axId val="158991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9911360"/>
        <c:crosses val="autoZero"/>
        <c:crossBetween val="midCat"/>
      </c:valAx>
      <c:valAx>
        <c:axId val="158991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Costs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9910880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STR</a:t>
            </a:r>
          </a:p>
        </c:rich>
      </c:tx>
      <c:layout>
        <c:manualLayout>
          <c:xMode val="edge"/>
          <c:yMode val="edge"/>
          <c:x val="0.46424743904238835"/>
          <c:y val="2.44549624317860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38822890478879"/>
          <c:y val="0.15348601959221192"/>
          <c:w val="0.82088550569244212"/>
          <c:h val="0.68261438311234002"/>
        </c:manualLayout>
      </c:layout>
      <c:scatterChart>
        <c:scatterStyle val="lineMarker"/>
        <c:varyColors val="0"/>
        <c:ser>
          <c:idx val="0"/>
          <c:order val="0"/>
          <c:tx>
            <c:v>Production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8551526896437154"/>
                  <c:y val="-0.452773038692757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7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'Subsystem level data'!$B$4:$F$4</c:f>
              <c:numCache>
                <c:formatCode>#,##0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xVal>
          <c:yVal>
            <c:numRef>
              <c:f>'Subsystem level data'!$B$18:$F$18</c:f>
              <c:numCache>
                <c:formatCode>#,##0</c:formatCode>
                <c:ptCount val="5"/>
                <c:pt idx="0">
                  <c:v>2532354.7340779998</c:v>
                </c:pt>
                <c:pt idx="1">
                  <c:v>4824783.5055839997</c:v>
                </c:pt>
                <c:pt idx="2">
                  <c:v>7039092.2815049998</c:v>
                </c:pt>
                <c:pt idx="3">
                  <c:v>9210067.2764570005</c:v>
                </c:pt>
                <c:pt idx="4">
                  <c:v>11349670.113733999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E8-48D1-A61E-E2D05407E56B}"/>
            </c:ext>
          </c:extLst>
        </c:ser>
        <c:ser>
          <c:idx val="1"/>
          <c:order val="1"/>
          <c:tx>
            <c:v>Development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4180289078878282"/>
                  <c:y val="-0.157561846664176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7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'Subsystem level data'!$B$4:$F$4</c:f>
              <c:numCache>
                <c:formatCode>#,##0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xVal>
          <c:yVal>
            <c:numRef>
              <c:f>'Subsystem level data'!$B$17:$F$17</c:f>
              <c:numCache>
                <c:formatCode>#,##0</c:formatCode>
                <c:ptCount val="5"/>
                <c:pt idx="0">
                  <c:v>7669432.1445490001</c:v>
                </c:pt>
                <c:pt idx="1">
                  <c:v>12462012.748919001</c:v>
                </c:pt>
                <c:pt idx="2">
                  <c:v>16552060.785303</c:v>
                </c:pt>
                <c:pt idx="3">
                  <c:v>20244599.437461998</c:v>
                </c:pt>
                <c:pt idx="4">
                  <c:v>23672830.612397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E8-48D1-A61E-E2D05407E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9910880"/>
        <c:axId val="1589911360"/>
      </c:scatterChart>
      <c:valAx>
        <c:axId val="158991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9911360"/>
        <c:crosses val="autoZero"/>
        <c:crossBetween val="midCat"/>
      </c:valAx>
      <c:valAx>
        <c:axId val="158991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Costs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9910880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THR</a:t>
            </a:r>
          </a:p>
        </c:rich>
      </c:tx>
      <c:layout>
        <c:manualLayout>
          <c:xMode val="edge"/>
          <c:yMode val="edge"/>
          <c:x val="0.46424743904238835"/>
          <c:y val="2.44549624317860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38822890478879"/>
          <c:y val="0.15348601959221192"/>
          <c:w val="0.82088550569244212"/>
          <c:h val="0.68261438311234002"/>
        </c:manualLayout>
      </c:layout>
      <c:scatterChart>
        <c:scatterStyle val="lineMarker"/>
        <c:varyColors val="0"/>
        <c:ser>
          <c:idx val="0"/>
          <c:order val="0"/>
          <c:tx>
            <c:v>Production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6293296612324348"/>
                  <c:y val="-0.539472299138748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7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'Subsystem level data'!$B$4:$F$4</c:f>
              <c:numCache>
                <c:formatCode>#,##0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xVal>
          <c:yVal>
            <c:numRef>
              <c:f>'Subsystem level data'!$B$23:$F$23</c:f>
              <c:numCache>
                <c:formatCode>#,##0</c:formatCode>
                <c:ptCount val="5"/>
                <c:pt idx="0">
                  <c:v>1347831.286411</c:v>
                </c:pt>
                <c:pt idx="1">
                  <c:v>2550042.6345429998</c:v>
                </c:pt>
                <c:pt idx="2">
                  <c:v>3706216.6339929998</c:v>
                </c:pt>
                <c:pt idx="3">
                  <c:v>4833733.7797710001</c:v>
                </c:pt>
                <c:pt idx="4">
                  <c:v>5941459.0866630003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BA-497C-A56F-B26CF48AE90D}"/>
            </c:ext>
          </c:extLst>
        </c:ser>
        <c:ser>
          <c:idx val="1"/>
          <c:order val="1"/>
          <c:tx>
            <c:v>Development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3382917872305079"/>
                  <c:y val="-0.145813515827688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7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'Subsystem level data'!$B$4:$F$4</c:f>
              <c:numCache>
                <c:formatCode>#,##0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xVal>
          <c:yVal>
            <c:numRef>
              <c:f>'Subsystem level data'!$B$22:$F$22</c:f>
              <c:numCache>
                <c:formatCode>#,##0</c:formatCode>
                <c:ptCount val="5"/>
                <c:pt idx="0">
                  <c:v>5810725.034217</c:v>
                </c:pt>
                <c:pt idx="1">
                  <c:v>9441809.8526900001</c:v>
                </c:pt>
                <c:pt idx="2">
                  <c:v>12540623.553652</c:v>
                </c:pt>
                <c:pt idx="3">
                  <c:v>15338265.357573999</c:v>
                </c:pt>
                <c:pt idx="4">
                  <c:v>17931361.084952999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FBA-497C-A56F-B26CF48AE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9910880"/>
        <c:axId val="1589911360"/>
      </c:scatterChart>
      <c:valAx>
        <c:axId val="158991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9911360"/>
        <c:crosses val="autoZero"/>
        <c:crossBetween val="midCat"/>
      </c:valAx>
      <c:valAx>
        <c:axId val="158991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Costs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9910880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PRPLN</a:t>
            </a:r>
          </a:p>
        </c:rich>
      </c:tx>
      <c:layout>
        <c:manualLayout>
          <c:xMode val="edge"/>
          <c:yMode val="edge"/>
          <c:x val="0.46424743904238835"/>
          <c:y val="2.44549624317860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38822890478879"/>
          <c:y val="0.15348601959221192"/>
          <c:w val="0.82088550569244212"/>
          <c:h val="0.68261438311234002"/>
        </c:manualLayout>
      </c:layout>
      <c:scatterChart>
        <c:scatterStyle val="lineMarker"/>
        <c:varyColors val="0"/>
        <c:ser>
          <c:idx val="0"/>
          <c:order val="0"/>
          <c:tx>
            <c:v>Production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6293296612324348"/>
                  <c:y val="-0.539472299138748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7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'Subsystem level data'!$B$4:$F$4</c:f>
              <c:numCache>
                <c:formatCode>#,##0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xVal>
          <c:yVal>
            <c:numRef>
              <c:f>'Subsystem level data'!$B$28:$F$28</c:f>
              <c:numCache>
                <c:formatCode>#,##0</c:formatCode>
                <c:ptCount val="5"/>
                <c:pt idx="0">
                  <c:v>8420469.646368999</c:v>
                </c:pt>
                <c:pt idx="1">
                  <c:v>16224740.773005001</c:v>
                </c:pt>
                <c:pt idx="2">
                  <c:v>23838780.041857</c:v>
                </c:pt>
                <c:pt idx="3">
                  <c:v>31331864.484700002</c:v>
                </c:pt>
                <c:pt idx="4">
                  <c:v>38749653.241508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4A-46D8-86C9-005C23D21182}"/>
            </c:ext>
          </c:extLst>
        </c:ser>
        <c:ser>
          <c:idx val="1"/>
          <c:order val="1"/>
          <c:tx>
            <c:v>Development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3382917872305079"/>
                  <c:y val="-0.145813515827688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7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'Subsystem level data'!$B$4:$F$4</c:f>
              <c:numCache>
                <c:formatCode>#,##0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xVal>
          <c:yVal>
            <c:numRef>
              <c:f>'Subsystem level data'!$B$27:$F$27</c:f>
              <c:numCache>
                <c:formatCode>#,##0</c:formatCode>
                <c:ptCount val="5"/>
                <c:pt idx="0">
                  <c:v>14356068.148080001</c:v>
                </c:pt>
                <c:pt idx="1">
                  <c:v>23327091.220229</c:v>
                </c:pt>
                <c:pt idx="2">
                  <c:v>30986895.813111</c:v>
                </c:pt>
                <c:pt idx="3">
                  <c:v>37904054.907972001</c:v>
                </c:pt>
                <c:pt idx="4">
                  <c:v>44312135.64858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4A-46D8-86C9-005C23D21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9910880"/>
        <c:axId val="1589911360"/>
      </c:scatterChart>
      <c:valAx>
        <c:axId val="158991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9911360"/>
        <c:crosses val="autoZero"/>
        <c:crossBetween val="midCat"/>
      </c:valAx>
      <c:valAx>
        <c:axId val="158991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Costs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9910880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196310</xdr:colOff>
      <xdr:row>0</xdr:row>
      <xdr:rowOff>89437</xdr:rowOff>
    </xdr:from>
    <xdr:to>
      <xdr:col>14</xdr:col>
      <xdr:colOff>323021</xdr:colOff>
      <xdr:row>16</xdr:row>
      <xdr:rowOff>99391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0C4FFCA-3BF4-21E9-CB98-21F5742DAC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173934</xdr:colOff>
      <xdr:row>17</xdr:row>
      <xdr:rowOff>1</xdr:rowOff>
    </xdr:from>
    <xdr:to>
      <xdr:col>14</xdr:col>
      <xdr:colOff>300645</xdr:colOff>
      <xdr:row>33</xdr:row>
      <xdr:rowOff>26520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ED11294-DE0E-4247-A7A9-74826B849F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165653</xdr:colOff>
      <xdr:row>33</xdr:row>
      <xdr:rowOff>149088</xdr:rowOff>
    </xdr:from>
    <xdr:to>
      <xdr:col>14</xdr:col>
      <xdr:colOff>292364</xdr:colOff>
      <xdr:row>50</xdr:row>
      <xdr:rowOff>26520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E112EDF4-3A6D-4FF0-B534-71D778E786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52</xdr:row>
      <xdr:rowOff>0</xdr:rowOff>
    </xdr:from>
    <xdr:to>
      <xdr:col>14</xdr:col>
      <xdr:colOff>126711</xdr:colOff>
      <xdr:row>68</xdr:row>
      <xdr:rowOff>67932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FF561B75-042C-4675-97F2-84C9620F2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536864</xdr:colOff>
      <xdr:row>7</xdr:row>
      <xdr:rowOff>180710</xdr:rowOff>
    </xdr:from>
    <xdr:to>
      <xdr:col>19</xdr:col>
      <xdr:colOff>651527</xdr:colOff>
      <xdr:row>23</xdr:row>
      <xdr:rowOff>144733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C7F2A379-5CC6-41B3-962A-5044B891D9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502227</xdr:colOff>
      <xdr:row>24</xdr:row>
      <xdr:rowOff>155863</xdr:rowOff>
    </xdr:from>
    <xdr:to>
      <xdr:col>19</xdr:col>
      <xdr:colOff>616890</xdr:colOff>
      <xdr:row>40</xdr:row>
      <xdr:rowOff>171841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90D37555-2B95-425F-A087-FC4F321B62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E2E5-4ECB-499A-817D-993C92EA813F}">
  <dimension ref="A1:G36"/>
  <sheetViews>
    <sheetView tabSelected="1" zoomScale="70" zoomScaleNormal="70" workbookViewId="0">
      <selection activeCell="A16" sqref="A16"/>
    </sheetView>
  </sheetViews>
  <sheetFormatPr baseColWidth="10" defaultRowHeight="15" x14ac:dyDescent="0.25"/>
  <cols>
    <col min="2" max="6" width="13.28515625" bestFit="1" customWidth="1"/>
  </cols>
  <sheetData>
    <row r="1" spans="1:6" ht="15.75" thickBot="1" x14ac:dyDescent="0.3">
      <c r="B1" t="s">
        <v>0</v>
      </c>
    </row>
    <row r="2" spans="1:6" x14ac:dyDescent="0.25">
      <c r="A2" s="1" t="s">
        <v>6</v>
      </c>
      <c r="B2" s="19">
        <v>25626825</v>
      </c>
      <c r="C2" s="19">
        <v>41640875</v>
      </c>
      <c r="D2" s="19">
        <v>55307461</v>
      </c>
      <c r="E2" s="19">
        <v>67645800</v>
      </c>
      <c r="F2" s="20">
        <v>79100988</v>
      </c>
    </row>
    <row r="3" spans="1:6" x14ac:dyDescent="0.25">
      <c r="A3" s="2" t="s">
        <v>7</v>
      </c>
      <c r="B3" s="11">
        <v>8093211</v>
      </c>
      <c r="C3" s="11">
        <v>15139995</v>
      </c>
      <c r="D3" s="11">
        <v>21875672</v>
      </c>
      <c r="E3" s="11">
        <v>28421847</v>
      </c>
      <c r="F3" s="12">
        <v>34858619</v>
      </c>
    </row>
    <row r="4" spans="1:6" x14ac:dyDescent="0.25">
      <c r="A4" s="2" t="s">
        <v>8</v>
      </c>
      <c r="B4" s="11">
        <v>100</v>
      </c>
      <c r="C4" s="11">
        <v>200</v>
      </c>
      <c r="D4" s="11">
        <v>300</v>
      </c>
      <c r="E4" s="11">
        <v>400</v>
      </c>
      <c r="F4" s="12">
        <v>500</v>
      </c>
    </row>
    <row r="5" spans="1:6" ht="15.75" thickBot="1" x14ac:dyDescent="0.3">
      <c r="A5" s="2" t="s">
        <v>9</v>
      </c>
      <c r="B5" s="5" t="s">
        <v>10</v>
      </c>
      <c r="C5" s="4"/>
      <c r="D5" s="4"/>
      <c r="E5" s="4"/>
      <c r="F5" s="6"/>
    </row>
    <row r="6" spans="1:6" ht="15.75" thickBot="1" x14ac:dyDescent="0.3">
      <c r="A6" s="2"/>
      <c r="B6" s="21" t="s">
        <v>1</v>
      </c>
      <c r="C6" s="21"/>
      <c r="D6" s="21"/>
      <c r="E6" s="21"/>
      <c r="F6" s="21"/>
    </row>
    <row r="7" spans="1:6" x14ac:dyDescent="0.25">
      <c r="A7" s="2" t="s">
        <v>6</v>
      </c>
      <c r="B7" s="19">
        <v>21418809</v>
      </c>
      <c r="C7" s="19">
        <v>34794958</v>
      </c>
      <c r="D7" s="19">
        <v>46225789</v>
      </c>
      <c r="E7" s="19">
        <v>56538131.641367003</v>
      </c>
      <c r="F7" s="20">
        <v>66112351.669859</v>
      </c>
    </row>
    <row r="8" spans="1:6" x14ac:dyDescent="0.25">
      <c r="A8" s="2" t="s">
        <v>7</v>
      </c>
      <c r="B8" s="11">
        <v>15849994</v>
      </c>
      <c r="C8" s="11">
        <v>29701618</v>
      </c>
      <c r="D8" s="11">
        <v>43537738</v>
      </c>
      <c r="E8" s="11">
        <v>57142843.174974002</v>
      </c>
      <c r="F8" s="12">
        <v>70594792.081210002</v>
      </c>
    </row>
    <row r="9" spans="1:6" x14ac:dyDescent="0.25">
      <c r="A9" s="2" t="s">
        <v>8</v>
      </c>
      <c r="B9" s="11">
        <v>100</v>
      </c>
      <c r="C9" s="11">
        <v>200</v>
      </c>
      <c r="D9" s="11">
        <v>300</v>
      </c>
      <c r="E9" s="11">
        <v>400</v>
      </c>
      <c r="F9" s="12">
        <v>500</v>
      </c>
    </row>
    <row r="10" spans="1:6" ht="15.75" thickBot="1" x14ac:dyDescent="0.3">
      <c r="A10" s="2" t="s">
        <v>9</v>
      </c>
      <c r="B10" s="5" t="s">
        <v>11</v>
      </c>
      <c r="C10" s="4"/>
      <c r="D10" s="4"/>
      <c r="E10" s="4"/>
      <c r="F10" s="6"/>
    </row>
    <row r="11" spans="1:6" ht="15.75" thickBot="1" x14ac:dyDescent="0.3">
      <c r="A11" s="2"/>
      <c r="B11" t="s">
        <v>2</v>
      </c>
    </row>
    <row r="12" spans="1:6" x14ac:dyDescent="0.25">
      <c r="A12" s="2" t="s">
        <v>6</v>
      </c>
      <c r="B12" s="19">
        <v>22406281.668520998</v>
      </c>
      <c r="C12" s="19">
        <v>36407836.716948003</v>
      </c>
      <c r="D12" s="19">
        <v>48356933.871104002</v>
      </c>
      <c r="E12" s="19">
        <v>59158883.194568001</v>
      </c>
      <c r="F12" s="20">
        <v>69160317.103299007</v>
      </c>
    </row>
    <row r="13" spans="1:6" x14ac:dyDescent="0.25">
      <c r="A13" s="2" t="s">
        <v>7</v>
      </c>
      <c r="B13" s="11">
        <v>10119666.936223</v>
      </c>
      <c r="C13" s="11">
        <v>19112371.345357999</v>
      </c>
      <c r="D13" s="11">
        <v>27768464.922476999</v>
      </c>
      <c r="E13" s="11">
        <v>36229331.947820999</v>
      </c>
      <c r="F13" s="12">
        <v>44555149.351457998</v>
      </c>
    </row>
    <row r="14" spans="1:6" x14ac:dyDescent="0.25">
      <c r="A14" s="2" t="s">
        <v>8</v>
      </c>
      <c r="B14" s="11">
        <v>100</v>
      </c>
      <c r="C14" s="11">
        <v>200</v>
      </c>
      <c r="D14" s="11">
        <v>300</v>
      </c>
      <c r="E14" s="11">
        <v>400</v>
      </c>
      <c r="F14" s="12">
        <v>500</v>
      </c>
    </row>
    <row r="15" spans="1:6" ht="15.75" thickBot="1" x14ac:dyDescent="0.3">
      <c r="A15" s="2" t="s">
        <v>9</v>
      </c>
      <c r="B15" s="15" t="s">
        <v>12</v>
      </c>
      <c r="C15" s="14"/>
      <c r="D15" s="14"/>
      <c r="E15" s="14"/>
      <c r="F15" s="16"/>
    </row>
    <row r="16" spans="1:6" ht="15.75" thickBot="1" x14ac:dyDescent="0.3">
      <c r="A16" s="2"/>
      <c r="B16" s="21" t="s">
        <v>3</v>
      </c>
      <c r="C16" s="21"/>
      <c r="D16" s="21"/>
      <c r="E16" s="21"/>
      <c r="F16" s="21"/>
    </row>
    <row r="17" spans="1:7" x14ac:dyDescent="0.25">
      <c r="A17" s="2" t="s">
        <v>6</v>
      </c>
      <c r="B17" s="19">
        <v>7669432.1445490001</v>
      </c>
      <c r="C17" s="19">
        <v>12462012.748919001</v>
      </c>
      <c r="D17" s="19">
        <v>16552060.785303</v>
      </c>
      <c r="E17" s="19">
        <v>20244599.437461998</v>
      </c>
      <c r="F17" s="20">
        <v>23672830.612397</v>
      </c>
    </row>
    <row r="18" spans="1:7" x14ac:dyDescent="0.25">
      <c r="A18" s="2" t="s">
        <v>7</v>
      </c>
      <c r="B18" s="11">
        <v>2532354.7340779998</v>
      </c>
      <c r="C18" s="11">
        <v>4824783.5055839997</v>
      </c>
      <c r="D18" s="11">
        <v>7039092.2815049998</v>
      </c>
      <c r="E18" s="11">
        <v>9210067.2764570005</v>
      </c>
      <c r="F18" s="12">
        <v>11349670.113733999</v>
      </c>
    </row>
    <row r="19" spans="1:7" x14ac:dyDescent="0.25">
      <c r="A19" s="2" t="s">
        <v>8</v>
      </c>
      <c r="B19" s="11">
        <v>100</v>
      </c>
      <c r="C19" s="11">
        <v>200</v>
      </c>
      <c r="D19" s="11">
        <v>300</v>
      </c>
      <c r="E19" s="11">
        <v>400</v>
      </c>
      <c r="F19" s="12">
        <v>500</v>
      </c>
    </row>
    <row r="20" spans="1:7" ht="15.75" thickBot="1" x14ac:dyDescent="0.3">
      <c r="A20" s="2" t="s">
        <v>9</v>
      </c>
      <c r="B20" s="5" t="s">
        <v>13</v>
      </c>
      <c r="C20" s="4"/>
      <c r="D20" s="4"/>
      <c r="E20" s="4"/>
      <c r="F20" s="6"/>
    </row>
    <row r="21" spans="1:7" ht="15.75" thickBot="1" x14ac:dyDescent="0.3">
      <c r="A21" s="2"/>
      <c r="B21" s="21" t="s">
        <v>4</v>
      </c>
      <c r="C21" s="21"/>
      <c r="D21" s="21"/>
      <c r="E21" s="21"/>
      <c r="F21" s="21"/>
    </row>
    <row r="22" spans="1:7" x14ac:dyDescent="0.25">
      <c r="A22" s="2" t="s">
        <v>6</v>
      </c>
      <c r="B22" s="19">
        <v>5810725.034217</v>
      </c>
      <c r="C22" s="19">
        <v>9441809.8526900001</v>
      </c>
      <c r="D22" s="19">
        <v>12540623.553652</v>
      </c>
      <c r="E22" s="19">
        <v>15338265.357573999</v>
      </c>
      <c r="F22" s="20">
        <v>17931361.084952999</v>
      </c>
    </row>
    <row r="23" spans="1:7" x14ac:dyDescent="0.25">
      <c r="A23" s="2" t="s">
        <v>7</v>
      </c>
      <c r="B23" s="11">
        <v>1347831.286411</v>
      </c>
      <c r="C23" s="11">
        <v>2550042.6345429998</v>
      </c>
      <c r="D23" s="11">
        <v>3706216.6339929998</v>
      </c>
      <c r="E23" s="11">
        <v>4833733.7797710001</v>
      </c>
      <c r="F23" s="12">
        <v>5941459.0866630003</v>
      </c>
    </row>
    <row r="24" spans="1:7" x14ac:dyDescent="0.25">
      <c r="A24" s="2" t="s">
        <v>8</v>
      </c>
      <c r="B24" s="11">
        <v>100</v>
      </c>
      <c r="C24" s="11">
        <v>200</v>
      </c>
      <c r="D24" s="11">
        <v>300</v>
      </c>
      <c r="E24" s="11">
        <v>400</v>
      </c>
      <c r="F24" s="12">
        <v>500</v>
      </c>
    </row>
    <row r="25" spans="1:7" ht="15.75" thickBot="1" x14ac:dyDescent="0.3">
      <c r="A25" s="2" t="s">
        <v>9</v>
      </c>
      <c r="B25" s="15" t="s">
        <v>14</v>
      </c>
      <c r="C25" s="14"/>
      <c r="D25" s="14"/>
      <c r="E25" s="14"/>
      <c r="F25" s="16"/>
    </row>
    <row r="26" spans="1:7" ht="15.75" thickBot="1" x14ac:dyDescent="0.3">
      <c r="A26" s="2"/>
      <c r="B26" s="22" t="s">
        <v>5</v>
      </c>
      <c r="C26" s="22"/>
      <c r="D26" s="22"/>
      <c r="E26" s="22"/>
      <c r="F26" s="22"/>
    </row>
    <row r="27" spans="1:7" x14ac:dyDescent="0.25">
      <c r="A27" s="2" t="s">
        <v>6</v>
      </c>
      <c r="B27" s="17">
        <v>14356068.148080001</v>
      </c>
      <c r="C27" s="7">
        <v>23327091.220229</v>
      </c>
      <c r="D27" s="7">
        <v>30986895.813111</v>
      </c>
      <c r="E27" s="7">
        <v>37904054.907972001</v>
      </c>
      <c r="F27" s="8">
        <v>44312135.64858</v>
      </c>
    </row>
    <row r="28" spans="1:7" x14ac:dyDescent="0.25">
      <c r="A28" s="2" t="s">
        <v>7</v>
      </c>
      <c r="B28" s="18">
        <v>8420469.646368999</v>
      </c>
      <c r="C28" s="9">
        <v>16224740.773005001</v>
      </c>
      <c r="D28" s="9">
        <v>23838780.041857</v>
      </c>
      <c r="E28" s="9">
        <v>31331864.484700002</v>
      </c>
      <c r="F28" s="10">
        <v>38749653.241508</v>
      </c>
    </row>
    <row r="29" spans="1:7" x14ac:dyDescent="0.25">
      <c r="A29" s="2" t="s">
        <v>8</v>
      </c>
      <c r="B29" s="11">
        <v>100</v>
      </c>
      <c r="C29" s="11">
        <v>200</v>
      </c>
      <c r="D29" s="11">
        <v>300</v>
      </c>
      <c r="E29" s="11">
        <v>400</v>
      </c>
      <c r="F29" s="12">
        <v>500</v>
      </c>
    </row>
    <row r="30" spans="1:7" ht="15.75" thickBot="1" x14ac:dyDescent="0.3">
      <c r="A30" s="3" t="s">
        <v>9</v>
      </c>
      <c r="B30" s="15" t="s">
        <v>15</v>
      </c>
      <c r="C30" s="14"/>
      <c r="D30" s="14"/>
      <c r="E30" s="14"/>
      <c r="F30" s="16"/>
    </row>
    <row r="32" spans="1:7" x14ac:dyDescent="0.25">
      <c r="A32" t="s">
        <v>16</v>
      </c>
      <c r="B32" t="s">
        <v>18</v>
      </c>
      <c r="C32" s="13">
        <v>6967973.1550240004</v>
      </c>
      <c r="D32" s="13">
        <v>11322217.087631</v>
      </c>
      <c r="E32" s="13">
        <v>15038182.774700001</v>
      </c>
      <c r="F32" s="13">
        <v>18397401.857716002</v>
      </c>
      <c r="G32" s="13">
        <v>21507676.914246999</v>
      </c>
    </row>
    <row r="33" spans="1:7" x14ac:dyDescent="0.25">
      <c r="B33" t="s">
        <v>19</v>
      </c>
      <c r="C33" s="13">
        <v>2602992.9140869998</v>
      </c>
      <c r="D33" s="13">
        <v>4972078.0409049997</v>
      </c>
      <c r="E33" s="13">
        <v>7267189.2779550003</v>
      </c>
      <c r="F33" s="13">
        <v>9518894.9176139999</v>
      </c>
      <c r="G33" s="13">
        <v>11736913.881987</v>
      </c>
    </row>
    <row r="34" spans="1:7" x14ac:dyDescent="0.25">
      <c r="C34" s="13"/>
      <c r="D34" s="13"/>
      <c r="E34" s="13"/>
      <c r="F34" s="13"/>
      <c r="G34" s="13"/>
    </row>
    <row r="35" spans="1:7" x14ac:dyDescent="0.25">
      <c r="A35" t="s">
        <v>17</v>
      </c>
      <c r="B35" t="s">
        <v>18</v>
      </c>
      <c r="C35" s="13">
        <v>7388094.9930560002</v>
      </c>
      <c r="D35" s="13">
        <v>12004874.132598</v>
      </c>
      <c r="E35" s="13">
        <v>15948713.038411001</v>
      </c>
      <c r="F35" s="13">
        <v>19506653.050255999</v>
      </c>
      <c r="G35" s="13">
        <v>22804458.734333001</v>
      </c>
    </row>
    <row r="36" spans="1:7" x14ac:dyDescent="0.25">
      <c r="B36" t="s">
        <v>19</v>
      </c>
      <c r="C36" s="13">
        <v>5817476.7322819997</v>
      </c>
      <c r="D36" s="13">
        <v>11252662.732100001</v>
      </c>
      <c r="E36" s="13">
        <v>16571590.763901999</v>
      </c>
      <c r="F36" s="13">
        <v>21812969.567086</v>
      </c>
      <c r="G36" s="13">
        <v>27012739.359521002</v>
      </c>
    </row>
  </sheetData>
  <mergeCells count="6">
    <mergeCell ref="B5:F5"/>
    <mergeCell ref="B10:F10"/>
    <mergeCell ref="B15:F15"/>
    <mergeCell ref="B20:F20"/>
    <mergeCell ref="B25:F25"/>
    <mergeCell ref="B30:F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5EBF6-24B1-4E03-B06B-06ABD8874B2B}">
  <dimension ref="A2:AN77"/>
  <sheetViews>
    <sheetView topLeftCell="A22" zoomScale="55" zoomScaleNormal="55" workbookViewId="0">
      <selection activeCell="Q66" sqref="Q66"/>
    </sheetView>
  </sheetViews>
  <sheetFormatPr baseColWidth="10" defaultRowHeight="15" x14ac:dyDescent="0.25"/>
  <cols>
    <col min="1" max="1" width="19" bestFit="1" customWidth="1"/>
    <col min="2" max="2" width="17.85546875" bestFit="1" customWidth="1"/>
    <col min="4" max="4" width="13" customWidth="1"/>
    <col min="5" max="5" width="15.140625" customWidth="1"/>
    <col min="6" max="6" width="13.5703125" customWidth="1"/>
    <col min="7" max="7" width="16.28515625" customWidth="1"/>
    <col min="8" max="8" width="14.7109375" customWidth="1"/>
  </cols>
  <sheetData>
    <row r="2" spans="1:10" ht="15.75" thickBot="1" x14ac:dyDescent="0.3">
      <c r="A2" t="s">
        <v>20</v>
      </c>
      <c r="C2" s="13" t="s">
        <v>22</v>
      </c>
    </row>
    <row r="3" spans="1:10" ht="15.75" thickBot="1" x14ac:dyDescent="0.3">
      <c r="A3" t="s">
        <v>21</v>
      </c>
      <c r="B3" s="24" t="s">
        <v>25</v>
      </c>
      <c r="C3" s="25">
        <v>323826266.49213701</v>
      </c>
    </row>
    <row r="4" spans="1:10" x14ac:dyDescent="0.25">
      <c r="B4" t="s">
        <v>0</v>
      </c>
      <c r="C4" s="13">
        <v>52492736.340538003</v>
      </c>
    </row>
    <row r="5" spans="1:10" x14ac:dyDescent="0.25">
      <c r="B5" t="s">
        <v>1</v>
      </c>
      <c r="C5" s="13">
        <v>44699222.912067004</v>
      </c>
    </row>
    <row r="6" spans="1:10" x14ac:dyDescent="0.25">
      <c r="B6" t="s">
        <v>2</v>
      </c>
      <c r="C6" s="13">
        <v>45728766.068461001</v>
      </c>
    </row>
    <row r="7" spans="1:10" x14ac:dyDescent="0.25">
      <c r="B7" t="s">
        <v>3</v>
      </c>
      <c r="C7" s="13">
        <v>38523043.390362002</v>
      </c>
    </row>
    <row r="8" spans="1:10" x14ac:dyDescent="0.25">
      <c r="B8" t="s">
        <v>24</v>
      </c>
      <c r="C8" s="13">
        <v>14854413.191059001</v>
      </c>
    </row>
    <row r="9" spans="1:10" x14ac:dyDescent="0.25">
      <c r="B9" s="23" t="s">
        <v>23</v>
      </c>
      <c r="C9" s="13">
        <v>114483068.90414201</v>
      </c>
    </row>
    <row r="10" spans="1:10" x14ac:dyDescent="0.25">
      <c r="B10" s="23"/>
      <c r="C10" s="13">
        <v>42844783.975001</v>
      </c>
    </row>
    <row r="11" spans="1:10" x14ac:dyDescent="0.25">
      <c r="B11" s="23"/>
      <c r="C11" s="13">
        <v>65388181.744566999</v>
      </c>
    </row>
    <row r="12" spans="1:10" x14ac:dyDescent="0.25">
      <c r="C12" s="13"/>
    </row>
    <row r="15" spans="1:10" ht="45.75" thickBot="1" x14ac:dyDescent="0.3">
      <c r="B15" t="s">
        <v>22</v>
      </c>
      <c r="C15" s="26" t="s">
        <v>26</v>
      </c>
      <c r="D15" s="26" t="s">
        <v>27</v>
      </c>
      <c r="E15" s="26" t="s">
        <v>28</v>
      </c>
      <c r="F15" s="26" t="s">
        <v>29</v>
      </c>
      <c r="G15" s="26" t="s">
        <v>30</v>
      </c>
      <c r="H15" s="26" t="s">
        <v>31</v>
      </c>
      <c r="I15" s="26" t="s">
        <v>32</v>
      </c>
      <c r="J15" s="26" t="s">
        <v>33</v>
      </c>
    </row>
    <row r="16" spans="1:10" ht="15.75" thickBot="1" x14ac:dyDescent="0.3">
      <c r="A16" s="24" t="s">
        <v>25</v>
      </c>
      <c r="B16" s="13">
        <v>323826266.49213701</v>
      </c>
      <c r="C16" s="22">
        <v>60848228.412312001</v>
      </c>
      <c r="D16" s="22">
        <v>66679856.177337997</v>
      </c>
      <c r="E16" s="22">
        <v>131908373.182464</v>
      </c>
      <c r="F16" s="22">
        <v>0</v>
      </c>
      <c r="G16" s="22">
        <v>0</v>
      </c>
      <c r="H16" s="22">
        <v>14557698.932056</v>
      </c>
      <c r="I16" s="22">
        <v>45487946.177661002</v>
      </c>
      <c r="J16" s="22">
        <v>4344163.6103069996</v>
      </c>
    </row>
    <row r="17" spans="1:10" x14ac:dyDescent="0.25">
      <c r="A17" t="s">
        <v>0</v>
      </c>
      <c r="B17" s="13">
        <v>52492736.340538003</v>
      </c>
      <c r="C17" s="22"/>
      <c r="D17" s="22"/>
      <c r="E17" s="22">
        <v>38713366.209073998</v>
      </c>
      <c r="F17" s="22">
        <v>0</v>
      </c>
      <c r="G17" s="22">
        <v>0</v>
      </c>
      <c r="H17" s="22">
        <v>4159375.8496750002</v>
      </c>
      <c r="I17" s="22">
        <v>7879742.7365960004</v>
      </c>
      <c r="J17" s="22">
        <v>1740251.545194</v>
      </c>
    </row>
    <row r="18" spans="1:10" x14ac:dyDescent="0.25">
      <c r="A18" t="s">
        <v>1</v>
      </c>
      <c r="B18" s="13">
        <v>44699222.912067004</v>
      </c>
      <c r="C18" s="22"/>
      <c r="D18" s="22"/>
      <c r="E18" s="22">
        <v>25316872.197951999</v>
      </c>
      <c r="F18" s="22">
        <v>0</v>
      </c>
      <c r="G18" s="22">
        <v>0</v>
      </c>
      <c r="H18" s="22">
        <v>4091403.9198949998</v>
      </c>
      <c r="I18" s="22">
        <v>14354331.935678</v>
      </c>
      <c r="J18" s="22">
        <v>936614.85854199994</v>
      </c>
    </row>
    <row r="19" spans="1:10" x14ac:dyDescent="0.25">
      <c r="A19" t="s">
        <v>2</v>
      </c>
      <c r="B19" s="13">
        <v>45728766.068461001</v>
      </c>
      <c r="C19" s="22"/>
      <c r="D19" s="22"/>
      <c r="E19" s="22">
        <v>30547682.305610001</v>
      </c>
      <c r="F19" s="22">
        <v>0</v>
      </c>
      <c r="G19" s="22">
        <v>0</v>
      </c>
      <c r="H19" s="22">
        <v>3809751.7790930001</v>
      </c>
      <c r="I19" s="22">
        <v>9846056.7666989993</v>
      </c>
      <c r="J19" s="22">
        <v>1525275.2170599999</v>
      </c>
    </row>
    <row r="20" spans="1:10" x14ac:dyDescent="0.25">
      <c r="A20" t="s">
        <v>3</v>
      </c>
      <c r="B20" s="13">
        <v>38523043.390362002</v>
      </c>
      <c r="C20" s="22"/>
      <c r="D20" s="22"/>
      <c r="E20" s="22">
        <v>25795240.851413999</v>
      </c>
      <c r="F20" s="22">
        <v>0</v>
      </c>
      <c r="G20" s="22">
        <v>0</v>
      </c>
      <c r="H20" s="22">
        <v>1955864.4198720001</v>
      </c>
      <c r="I20" s="22">
        <v>10669848.419475</v>
      </c>
      <c r="J20" s="22">
        <v>102089.699603</v>
      </c>
    </row>
    <row r="21" spans="1:10" x14ac:dyDescent="0.25">
      <c r="A21" t="s">
        <v>24</v>
      </c>
      <c r="B21" s="13">
        <v>14854413.191059001</v>
      </c>
      <c r="C21" s="22"/>
      <c r="D21" s="22"/>
      <c r="E21" s="22">
        <v>11535211.618414</v>
      </c>
      <c r="F21" s="22">
        <v>0</v>
      </c>
      <c r="G21" s="22">
        <v>0</v>
      </c>
      <c r="H21" s="22">
        <v>541302.96352300001</v>
      </c>
      <c r="I21" s="22">
        <v>2737966.3192130001</v>
      </c>
      <c r="J21" s="22">
        <v>39932.289908999999</v>
      </c>
    </row>
    <row r="22" spans="1:10" x14ac:dyDescent="0.25">
      <c r="A22" s="23" t="s">
        <v>23</v>
      </c>
      <c r="B22" s="13">
        <v>114483068.90414201</v>
      </c>
      <c r="C22" s="22">
        <v>56943403.380039997</v>
      </c>
      <c r="D22" s="22">
        <v>57539665.524102002</v>
      </c>
      <c r="E22" s="22"/>
      <c r="F22" s="22"/>
      <c r="G22" s="22"/>
      <c r="H22" s="22"/>
      <c r="I22" s="22"/>
      <c r="J22" s="22"/>
    </row>
    <row r="23" spans="1:10" x14ac:dyDescent="0.25">
      <c r="A23" s="23"/>
      <c r="B23" s="13">
        <v>42844783.975001</v>
      </c>
      <c r="C23" s="22">
        <v>26951823.879365999</v>
      </c>
      <c r="D23" s="22">
        <v>15892960.095635001</v>
      </c>
      <c r="E23" s="22"/>
      <c r="F23" s="22"/>
      <c r="G23" s="22"/>
      <c r="H23" s="22"/>
      <c r="I23" s="22"/>
      <c r="J23" s="22"/>
    </row>
    <row r="24" spans="1:10" x14ac:dyDescent="0.25">
      <c r="A24" s="23"/>
      <c r="B24" s="13">
        <v>65388181.744566999</v>
      </c>
      <c r="C24" s="22">
        <v>28583709.196743999</v>
      </c>
      <c r="D24" s="22">
        <v>36804472.547822997</v>
      </c>
      <c r="E24" s="22"/>
      <c r="F24" s="22"/>
      <c r="G24" s="22"/>
      <c r="H24" s="22"/>
      <c r="I24" s="22"/>
      <c r="J24" s="22"/>
    </row>
    <row r="27" spans="1:10" x14ac:dyDescent="0.25">
      <c r="A27" t="s">
        <v>34</v>
      </c>
    </row>
    <row r="28" spans="1:10" x14ac:dyDescent="0.25">
      <c r="A28" t="s">
        <v>35</v>
      </c>
      <c r="B28" s="27">
        <f>(B16-SUM(B17:B22))/SUM(B17:B22)</f>
        <v>4.1974912101839575E-2</v>
      </c>
      <c r="C28" s="27">
        <f>(C16-SUM(C17:C22))/SUM(C17:C22)</f>
        <v>6.8573790825448566E-2</v>
      </c>
      <c r="D28" s="27">
        <f>(D16-SUM(D17:D22))/SUM(D17:D22)</f>
        <v>0.15885025694852858</v>
      </c>
      <c r="E28" s="27">
        <f t="shared" ref="E28:J28" si="0">(E16-SUM(E17:E22))/SUM(E17:E22)</f>
        <v>1.1296599930950122E-16</v>
      </c>
      <c r="F28" s="27" t="e">
        <f t="shared" si="0"/>
        <v>#DIV/0!</v>
      </c>
      <c r="G28" s="27" t="e">
        <f t="shared" si="0"/>
        <v>#DIV/0!</v>
      </c>
      <c r="H28" s="27">
        <f t="shared" si="0"/>
        <v>-1.3754533218253677E-13</v>
      </c>
      <c r="I28" s="27">
        <f t="shared" si="0"/>
        <v>0</v>
      </c>
      <c r="J28" s="27">
        <f t="shared" si="0"/>
        <v>-2.3003487257966278E-13</v>
      </c>
    </row>
    <row r="29" spans="1:10" x14ac:dyDescent="0.25">
      <c r="A29" t="s">
        <v>23</v>
      </c>
      <c r="B29" s="27">
        <f>(B22-SUM(B23:B24))/SUM(B23:B24)</f>
        <v>5.7746760823019924E-2</v>
      </c>
      <c r="C29" s="27">
        <f t="shared" ref="C29:D29" si="1">(C22-SUM(C23:C24))/SUM(C23:C24)</f>
        <v>2.5350802017161698E-2</v>
      </c>
      <c r="D29" s="27">
        <f t="shared" si="1"/>
        <v>9.1887453292188739E-2</v>
      </c>
      <c r="E29" s="27"/>
      <c r="F29" s="27"/>
      <c r="G29" s="27"/>
      <c r="H29" s="27"/>
      <c r="I29" s="27"/>
      <c r="J29" s="27"/>
    </row>
    <row r="33" spans="2:40" x14ac:dyDescent="0.25">
      <c r="I33" t="s">
        <v>46</v>
      </c>
      <c r="P33" t="s">
        <v>47</v>
      </c>
      <c r="W33" t="s">
        <v>48</v>
      </c>
      <c r="AD33" t="s">
        <v>49</v>
      </c>
      <c r="AJ33" t="s">
        <v>50</v>
      </c>
    </row>
    <row r="35" spans="2:40" x14ac:dyDescent="0.25">
      <c r="C35" t="s">
        <v>36</v>
      </c>
      <c r="D35" t="s">
        <v>22</v>
      </c>
      <c r="E35" t="s">
        <v>37</v>
      </c>
      <c r="F35" t="s">
        <v>38</v>
      </c>
      <c r="I35" t="s">
        <v>36</v>
      </c>
      <c r="J35" t="s">
        <v>22</v>
      </c>
      <c r="K35" t="s">
        <v>37</v>
      </c>
      <c r="L35" t="s">
        <v>38</v>
      </c>
      <c r="P35" t="s">
        <v>36</v>
      </c>
      <c r="Q35" t="s">
        <v>22</v>
      </c>
      <c r="R35" t="s">
        <v>37</v>
      </c>
      <c r="S35" t="s">
        <v>38</v>
      </c>
      <c r="W35" t="s">
        <v>36</v>
      </c>
      <c r="X35" t="s">
        <v>22</v>
      </c>
      <c r="Y35" t="s">
        <v>37</v>
      </c>
      <c r="Z35" t="s">
        <v>38</v>
      </c>
      <c r="AD35" t="s">
        <v>36</v>
      </c>
      <c r="AE35" t="s">
        <v>22</v>
      </c>
      <c r="AF35" t="s">
        <v>37</v>
      </c>
      <c r="AG35" t="s">
        <v>38</v>
      </c>
      <c r="AK35" t="s">
        <v>36</v>
      </c>
      <c r="AL35" t="s">
        <v>22</v>
      </c>
      <c r="AM35" t="s">
        <v>37</v>
      </c>
      <c r="AN35" t="s">
        <v>38</v>
      </c>
    </row>
    <row r="36" spans="2:40" x14ac:dyDescent="0.25">
      <c r="B36" s="28">
        <v>1</v>
      </c>
      <c r="C36" s="29" t="s">
        <v>39</v>
      </c>
      <c r="D36" s="29">
        <v>323826266.49213701</v>
      </c>
      <c r="E36" s="29">
        <v>192756601.594776</v>
      </c>
      <c r="F36" s="30">
        <v>131069664.897361</v>
      </c>
      <c r="H36">
        <v>1</v>
      </c>
      <c r="I36" t="s">
        <v>39</v>
      </c>
      <c r="J36">
        <v>303816320.66394198</v>
      </c>
      <c r="K36">
        <v>179216087.82445401</v>
      </c>
      <c r="L36">
        <v>124600232.839488</v>
      </c>
      <c r="O36">
        <v>1</v>
      </c>
      <c r="P36" t="s">
        <v>39</v>
      </c>
      <c r="Q36">
        <v>328409098.48649299</v>
      </c>
      <c r="R36">
        <v>195789604.34058401</v>
      </c>
      <c r="S36">
        <v>132619494.145909</v>
      </c>
      <c r="V36">
        <v>1</v>
      </c>
      <c r="W36" t="s">
        <v>39</v>
      </c>
      <c r="X36">
        <v>350252930.18061602</v>
      </c>
      <c r="Y36">
        <v>209961685.015885</v>
      </c>
      <c r="Z36">
        <v>140291245.16473001</v>
      </c>
      <c r="AC36">
        <v>1</v>
      </c>
      <c r="AD36" t="s">
        <v>39</v>
      </c>
      <c r="AE36">
        <v>370514477.79351997</v>
      </c>
      <c r="AF36">
        <v>222770100.21187201</v>
      </c>
      <c r="AG36">
        <v>147744377.58164799</v>
      </c>
      <c r="AJ36">
        <v>1</v>
      </c>
      <c r="AK36" t="s">
        <v>39</v>
      </c>
      <c r="AL36">
        <v>389741701.59164202</v>
      </c>
      <c r="AM36">
        <v>234669205.44121599</v>
      </c>
      <c r="AN36">
        <v>155072496.15042499</v>
      </c>
    </row>
    <row r="37" spans="2:40" x14ac:dyDescent="0.25">
      <c r="B37">
        <v>2</v>
      </c>
      <c r="C37" t="s">
        <v>40</v>
      </c>
      <c r="D37">
        <v>52492736.340538003</v>
      </c>
      <c r="E37">
        <v>38713366.209073998</v>
      </c>
      <c r="F37">
        <v>13779370.131464999</v>
      </c>
      <c r="H37">
        <v>2</v>
      </c>
      <c r="I37" t="s">
        <v>40</v>
      </c>
      <c r="J37">
        <v>33720035.452073</v>
      </c>
      <c r="K37">
        <v>25626824.562592</v>
      </c>
      <c r="L37">
        <v>8093210.8894809997</v>
      </c>
      <c r="O37">
        <v>2</v>
      </c>
      <c r="P37" t="s">
        <v>40</v>
      </c>
      <c r="Q37">
        <v>56780869.365780003</v>
      </c>
      <c r="R37">
        <v>41640874.638948999</v>
      </c>
      <c r="S37">
        <v>15139994.726831</v>
      </c>
      <c r="V37">
        <v>2</v>
      </c>
      <c r="W37" t="s">
        <v>40</v>
      </c>
      <c r="X37">
        <v>77183132.890983</v>
      </c>
      <c r="Y37">
        <v>55307461.327776</v>
      </c>
      <c r="Z37">
        <v>21875671.563207</v>
      </c>
      <c r="AC37">
        <v>2</v>
      </c>
      <c r="AD37" t="s">
        <v>40</v>
      </c>
      <c r="AE37">
        <v>96067647.299012005</v>
      </c>
      <c r="AF37">
        <v>67645800.423711002</v>
      </c>
      <c r="AG37">
        <v>28421846.875301</v>
      </c>
      <c r="AJ37">
        <v>2</v>
      </c>
      <c r="AK37" t="s">
        <v>40</v>
      </c>
      <c r="AL37">
        <v>113959606.93037</v>
      </c>
      <c r="AM37">
        <v>79100987.942708001</v>
      </c>
      <c r="AN37">
        <v>34858618.987662002</v>
      </c>
    </row>
    <row r="38" spans="2:40" x14ac:dyDescent="0.25">
      <c r="B38">
        <v>3</v>
      </c>
      <c r="C38" t="s">
        <v>41</v>
      </c>
      <c r="D38">
        <v>44699222.912067004</v>
      </c>
      <c r="E38">
        <v>25316872.197951999</v>
      </c>
      <c r="F38">
        <v>19382350.714115001</v>
      </c>
      <c r="H38">
        <v>3</v>
      </c>
      <c r="I38" t="s">
        <v>41</v>
      </c>
      <c r="J38">
        <v>44699222.912067004</v>
      </c>
      <c r="K38">
        <v>25316872.197951999</v>
      </c>
      <c r="L38">
        <v>19382350.714115001</v>
      </c>
      <c r="O38">
        <v>3</v>
      </c>
      <c r="P38" t="s">
        <v>41</v>
      </c>
      <c r="Q38">
        <v>44699222.912067004</v>
      </c>
      <c r="R38">
        <v>25316872.197951999</v>
      </c>
      <c r="S38">
        <v>19382350.714115001</v>
      </c>
      <c r="V38">
        <v>3</v>
      </c>
      <c r="W38" t="s">
        <v>41</v>
      </c>
      <c r="X38">
        <v>44699222.912067004</v>
      </c>
      <c r="Y38">
        <v>25316872.197951999</v>
      </c>
      <c r="Z38">
        <v>19382350.714115001</v>
      </c>
      <c r="AC38">
        <v>3</v>
      </c>
      <c r="AD38" t="s">
        <v>41</v>
      </c>
      <c r="AE38">
        <v>44699222.912067004</v>
      </c>
      <c r="AF38">
        <v>25316872.197951999</v>
      </c>
      <c r="AG38">
        <v>19382350.714115001</v>
      </c>
      <c r="AJ38">
        <v>3</v>
      </c>
      <c r="AK38" t="s">
        <v>41</v>
      </c>
      <c r="AL38">
        <v>44699222.912067004</v>
      </c>
      <c r="AM38">
        <v>25316872.197951999</v>
      </c>
      <c r="AN38">
        <v>19382350.714115001</v>
      </c>
    </row>
    <row r="39" spans="2:40" x14ac:dyDescent="0.25">
      <c r="B39">
        <v>4</v>
      </c>
      <c r="C39" t="s">
        <v>42</v>
      </c>
      <c r="D39">
        <v>45728766.068461001</v>
      </c>
      <c r="E39">
        <v>30547682.305610001</v>
      </c>
      <c r="F39">
        <v>15181083.762851</v>
      </c>
      <c r="H39">
        <v>4</v>
      </c>
      <c r="I39" t="s">
        <v>42</v>
      </c>
      <c r="J39">
        <v>45728766.068461001</v>
      </c>
      <c r="K39">
        <v>30547682.305610001</v>
      </c>
      <c r="L39">
        <v>15181083.762851</v>
      </c>
      <c r="O39">
        <v>4</v>
      </c>
      <c r="P39" t="s">
        <v>42</v>
      </c>
      <c r="Q39">
        <v>45728766.068461001</v>
      </c>
      <c r="R39">
        <v>30547682.305610001</v>
      </c>
      <c r="S39">
        <v>15181083.762851</v>
      </c>
      <c r="V39">
        <v>4</v>
      </c>
      <c r="W39" t="s">
        <v>42</v>
      </c>
      <c r="X39">
        <v>45728766.068461001</v>
      </c>
      <c r="Y39">
        <v>30547682.305610001</v>
      </c>
      <c r="Z39">
        <v>15181083.762851</v>
      </c>
      <c r="AC39">
        <v>4</v>
      </c>
      <c r="AD39" t="s">
        <v>42</v>
      </c>
      <c r="AE39">
        <v>45728766.068461001</v>
      </c>
      <c r="AF39">
        <v>30547682.305610001</v>
      </c>
      <c r="AG39">
        <v>15181083.762851</v>
      </c>
      <c r="AJ39">
        <v>4</v>
      </c>
      <c r="AK39" t="s">
        <v>42</v>
      </c>
      <c r="AL39">
        <v>45728766.068461001</v>
      </c>
      <c r="AM39">
        <v>30547682.305610001</v>
      </c>
      <c r="AN39">
        <v>15181083.762851</v>
      </c>
    </row>
    <row r="40" spans="2:40" x14ac:dyDescent="0.25">
      <c r="B40">
        <v>5</v>
      </c>
      <c r="C40" t="s">
        <v>43</v>
      </c>
      <c r="D40">
        <v>38523043.390362002</v>
      </c>
      <c r="E40">
        <v>25795240.851413999</v>
      </c>
      <c r="F40">
        <v>12727802.538949</v>
      </c>
      <c r="H40">
        <v>5</v>
      </c>
      <c r="I40" t="s">
        <v>43</v>
      </c>
      <c r="J40">
        <v>38523043.390362002</v>
      </c>
      <c r="K40">
        <v>25795240.851413999</v>
      </c>
      <c r="L40">
        <v>12727802.538949</v>
      </c>
      <c r="O40">
        <v>5</v>
      </c>
      <c r="P40" t="s">
        <v>43</v>
      </c>
      <c r="Q40">
        <v>38523043.390362002</v>
      </c>
      <c r="R40">
        <v>25795240.851413999</v>
      </c>
      <c r="S40">
        <v>12727802.538949</v>
      </c>
      <c r="V40">
        <v>5</v>
      </c>
      <c r="W40" t="s">
        <v>43</v>
      </c>
      <c r="X40">
        <v>38523043.390362002</v>
      </c>
      <c r="Y40">
        <v>25795240.851413999</v>
      </c>
      <c r="Z40">
        <v>12727802.538949</v>
      </c>
      <c r="AC40">
        <v>5</v>
      </c>
      <c r="AD40" t="s">
        <v>43</v>
      </c>
      <c r="AE40">
        <v>38523043.390362002</v>
      </c>
      <c r="AF40">
        <v>25795240.851413999</v>
      </c>
      <c r="AG40">
        <v>12727802.538949</v>
      </c>
      <c r="AJ40">
        <v>5</v>
      </c>
      <c r="AK40" t="s">
        <v>43</v>
      </c>
      <c r="AL40">
        <v>38523043.390362002</v>
      </c>
      <c r="AM40">
        <v>25795240.851413999</v>
      </c>
      <c r="AN40">
        <v>12727802.538949</v>
      </c>
    </row>
    <row r="41" spans="2:40" x14ac:dyDescent="0.25">
      <c r="B41">
        <v>6</v>
      </c>
      <c r="C41" t="s">
        <v>44</v>
      </c>
      <c r="D41">
        <v>14854413.191059001</v>
      </c>
      <c r="E41">
        <v>11535211.618414</v>
      </c>
      <c r="F41">
        <v>3319201.5726439999</v>
      </c>
      <c r="H41">
        <v>6</v>
      </c>
      <c r="I41" t="s">
        <v>44</v>
      </c>
      <c r="J41">
        <v>14854413.191059001</v>
      </c>
      <c r="K41">
        <v>11535211.618414</v>
      </c>
      <c r="L41">
        <v>3319201.5726439999</v>
      </c>
      <c r="O41">
        <v>6</v>
      </c>
      <c r="P41" t="s">
        <v>44</v>
      </c>
      <c r="Q41">
        <v>14854413.191059001</v>
      </c>
      <c r="R41">
        <v>11535211.618414</v>
      </c>
      <c r="S41">
        <v>3319201.5726439999</v>
      </c>
      <c r="V41">
        <v>6</v>
      </c>
      <c r="W41" t="s">
        <v>44</v>
      </c>
      <c r="X41">
        <v>14854413.191059001</v>
      </c>
      <c r="Y41">
        <v>11535211.618414</v>
      </c>
      <c r="Z41">
        <v>3319201.5726439999</v>
      </c>
      <c r="AC41">
        <v>6</v>
      </c>
      <c r="AD41" t="s">
        <v>44</v>
      </c>
      <c r="AE41">
        <v>14854413.191059001</v>
      </c>
      <c r="AF41">
        <v>11535211.618414</v>
      </c>
      <c r="AG41">
        <v>3319201.5726439999</v>
      </c>
      <c r="AJ41">
        <v>6</v>
      </c>
      <c r="AK41" t="s">
        <v>44</v>
      </c>
      <c r="AL41">
        <v>14854413.191059001</v>
      </c>
      <c r="AM41">
        <v>11535211.618414</v>
      </c>
      <c r="AN41">
        <v>3319201.5726439999</v>
      </c>
    </row>
    <row r="42" spans="2:40" x14ac:dyDescent="0.25">
      <c r="B42" s="28">
        <v>7</v>
      </c>
      <c r="C42" s="29" t="s">
        <v>45</v>
      </c>
      <c r="D42" s="29">
        <v>114483068.90414201</v>
      </c>
      <c r="E42" s="29">
        <v>56943403.380039997</v>
      </c>
      <c r="F42" s="30">
        <v>57539665.524102002</v>
      </c>
      <c r="H42">
        <v>7</v>
      </c>
      <c r="I42" t="s">
        <v>45</v>
      </c>
      <c r="J42">
        <v>114483068.90414201</v>
      </c>
      <c r="K42">
        <v>56943403.380039997</v>
      </c>
      <c r="L42">
        <v>57539665.524102002</v>
      </c>
      <c r="O42">
        <v>7</v>
      </c>
      <c r="P42" t="s">
        <v>45</v>
      </c>
      <c r="Q42">
        <v>114483068.90414201</v>
      </c>
      <c r="R42">
        <v>56943403.380039997</v>
      </c>
      <c r="S42">
        <v>57539665.524102002</v>
      </c>
      <c r="V42">
        <v>7</v>
      </c>
      <c r="W42" t="s">
        <v>45</v>
      </c>
      <c r="X42">
        <v>114483068.90414201</v>
      </c>
      <c r="Y42">
        <v>56943403.380039997</v>
      </c>
      <c r="Z42">
        <v>57539665.524102002</v>
      </c>
      <c r="AC42">
        <v>7</v>
      </c>
      <c r="AD42" t="s">
        <v>45</v>
      </c>
      <c r="AE42">
        <v>114483068.90414201</v>
      </c>
      <c r="AF42">
        <v>56943403.380039997</v>
      </c>
      <c r="AG42">
        <v>57539665.524102002</v>
      </c>
      <c r="AJ42">
        <v>7</v>
      </c>
      <c r="AK42" t="s">
        <v>45</v>
      </c>
      <c r="AL42">
        <v>114483068.90414201</v>
      </c>
      <c r="AM42">
        <v>56943403.380039997</v>
      </c>
      <c r="AN42">
        <v>57539665.524102002</v>
      </c>
    </row>
    <row r="43" spans="2:40" x14ac:dyDescent="0.25">
      <c r="B43">
        <v>8</v>
      </c>
      <c r="C43" t="s">
        <v>16</v>
      </c>
      <c r="D43">
        <v>42844783.975001</v>
      </c>
      <c r="E43">
        <v>26951823.879365999</v>
      </c>
      <c r="F43">
        <v>15892960.095635001</v>
      </c>
      <c r="H43">
        <v>8</v>
      </c>
      <c r="I43" t="s">
        <v>16</v>
      </c>
      <c r="J43">
        <v>42844783.975001</v>
      </c>
      <c r="K43">
        <v>26951823.879365999</v>
      </c>
      <c r="L43">
        <v>15892960.095635001</v>
      </c>
      <c r="O43">
        <v>8</v>
      </c>
      <c r="P43" t="s">
        <v>16</v>
      </c>
      <c r="Q43">
        <v>42844783.975001</v>
      </c>
      <c r="R43">
        <v>26951823.879365999</v>
      </c>
      <c r="S43">
        <v>15892960.095635001</v>
      </c>
      <c r="V43">
        <v>8</v>
      </c>
      <c r="W43" t="s">
        <v>16</v>
      </c>
      <c r="X43">
        <v>42844783.975001</v>
      </c>
      <c r="Y43">
        <v>26951823.879365999</v>
      </c>
      <c r="Z43">
        <v>15892960.095635001</v>
      </c>
      <c r="AC43">
        <v>8</v>
      </c>
      <c r="AD43" t="s">
        <v>16</v>
      </c>
      <c r="AE43">
        <v>42844783.975001</v>
      </c>
      <c r="AF43">
        <v>26951823.879365999</v>
      </c>
      <c r="AG43">
        <v>15892960.095635001</v>
      </c>
      <c r="AJ43">
        <v>8</v>
      </c>
      <c r="AK43" t="s">
        <v>16</v>
      </c>
      <c r="AL43">
        <v>42844783.975001</v>
      </c>
      <c r="AM43">
        <v>26951823.879365999</v>
      </c>
      <c r="AN43">
        <v>15892960.095635001</v>
      </c>
    </row>
    <row r="44" spans="2:40" x14ac:dyDescent="0.25">
      <c r="B44">
        <v>9</v>
      </c>
      <c r="C44" t="s">
        <v>17</v>
      </c>
      <c r="D44">
        <v>65388181.744566999</v>
      </c>
      <c r="E44">
        <v>28583709.196743999</v>
      </c>
      <c r="F44">
        <v>36804472.547822997</v>
      </c>
      <c r="H44">
        <v>9</v>
      </c>
      <c r="I44" t="s">
        <v>17</v>
      </c>
      <c r="J44">
        <v>65388181.744566999</v>
      </c>
      <c r="K44">
        <v>28583709.196743999</v>
      </c>
      <c r="L44">
        <v>36804472.547822997</v>
      </c>
      <c r="O44">
        <v>9</v>
      </c>
      <c r="P44" t="s">
        <v>17</v>
      </c>
      <c r="Q44">
        <v>65388181.744566999</v>
      </c>
      <c r="R44">
        <v>28583709.196743999</v>
      </c>
      <c r="S44">
        <v>36804472.547822997</v>
      </c>
      <c r="V44">
        <v>9</v>
      </c>
      <c r="W44" t="s">
        <v>17</v>
      </c>
      <c r="X44">
        <v>65388181.744566999</v>
      </c>
      <c r="Y44">
        <v>28583709.196743999</v>
      </c>
      <c r="Z44">
        <v>36804472.547822997</v>
      </c>
      <c r="AC44">
        <v>9</v>
      </c>
      <c r="AD44" t="s">
        <v>17</v>
      </c>
      <c r="AE44">
        <v>65388181.744566999</v>
      </c>
      <c r="AF44">
        <v>28583709.196743999</v>
      </c>
      <c r="AG44">
        <v>36804472.547822997</v>
      </c>
      <c r="AJ44">
        <v>9</v>
      </c>
      <c r="AK44" t="s">
        <v>17</v>
      </c>
      <c r="AL44">
        <v>65388181.744566999</v>
      </c>
      <c r="AM44">
        <v>28583709.196743999</v>
      </c>
      <c r="AN44">
        <v>36804472.547822997</v>
      </c>
    </row>
    <row r="46" spans="2:40" x14ac:dyDescent="0.25">
      <c r="D46" s="27">
        <f>(D36-SUM(D37:D42))/SUM(D37:D42)</f>
        <v>4.1974912101839575E-2</v>
      </c>
      <c r="E46" s="27">
        <f t="shared" ref="E46:F46" si="2">(E36-SUM(E37:E42))/SUM(E37:E42)</f>
        <v>2.0676665601711386E-2</v>
      </c>
      <c r="F46" s="27">
        <f t="shared" si="2"/>
        <v>7.4962930086408835E-2</v>
      </c>
      <c r="J46" s="27">
        <f>(J36-SUM(J37:J42))/SUM(J37:J42)</f>
        <v>4.0436387047869372E-2</v>
      </c>
      <c r="K46" s="27">
        <f t="shared" ref="K46:L46" si="3">(K36-SUM(K37:K42))/SUM(K37:K42)</f>
        <v>1.9633307520004015E-2</v>
      </c>
      <c r="L46" s="27">
        <f t="shared" si="3"/>
        <v>7.1891599419648303E-2</v>
      </c>
      <c r="Q46" s="27">
        <f>(Q36-SUM(Q37:Q42))/SUM(Q37:Q42)</f>
        <v>4.2338974648645736E-2</v>
      </c>
      <c r="R46" s="27">
        <f t="shared" ref="R46:S46" si="4">(R36-SUM(R37:R42))/SUM(R37:R42)</f>
        <v>2.0911118468109807E-2</v>
      </c>
      <c r="S46" s="27">
        <f t="shared" si="4"/>
        <v>7.5670271937754607E-2</v>
      </c>
      <c r="X46" s="27">
        <f>(X36-SUM(X37:X42))/SUM(X37:X42)</f>
        <v>4.406119843507636E-2</v>
      </c>
      <c r="Y46" s="27">
        <f t="shared" ref="Y46:Z46" si="5">(Y36-SUM(Y37:Y42))/SUM(Y37:Y42)</f>
        <v>2.198055038889404E-2</v>
      </c>
      <c r="Z46" s="27">
        <f t="shared" si="5"/>
        <v>7.8949496247975218E-2</v>
      </c>
      <c r="AE46" s="27">
        <f>(AE36-SUM(AE37:AE42))/SUM(AE37:AE42)</f>
        <v>4.5599082990203738E-2</v>
      </c>
      <c r="AF46" s="27">
        <f t="shared" ref="AF46:AG46" si="6">(AF36-SUM(AF37:AF42))/SUM(AF37:AF42)</f>
        <v>2.2893713997628171E-2</v>
      </c>
      <c r="AG46" s="27">
        <f t="shared" si="6"/>
        <v>8.1806157947254973E-2</v>
      </c>
      <c r="AL46" s="27">
        <f>(AL36-SUM(AL37:AL42))/SUM(AL37:AL42)</f>
        <v>4.6994408271437756E-2</v>
      </c>
      <c r="AM46" s="27">
        <f t="shared" ref="AM46:AN46" si="7">(AM36-SUM(AM37:AM42))/SUM(AM37:AM42)</f>
        <v>2.3686186516959987E-2</v>
      </c>
      <c r="AN46" s="27">
        <f t="shared" si="7"/>
        <v>8.435690347111921E-2</v>
      </c>
    </row>
    <row r="49" spans="9:13" x14ac:dyDescent="0.25">
      <c r="I49" t="s">
        <v>46</v>
      </c>
      <c r="J49" t="s">
        <v>51</v>
      </c>
    </row>
    <row r="51" spans="9:13" x14ac:dyDescent="0.25">
      <c r="J51" t="s">
        <v>36</v>
      </c>
      <c r="K51" t="s">
        <v>22</v>
      </c>
      <c r="L51" t="s">
        <v>37</v>
      </c>
      <c r="M51" t="s">
        <v>38</v>
      </c>
    </row>
    <row r="52" spans="9:13" x14ac:dyDescent="0.25">
      <c r="I52">
        <v>1</v>
      </c>
      <c r="J52" t="s">
        <v>39</v>
      </c>
      <c r="K52">
        <v>309334259.35323501</v>
      </c>
      <c r="L52">
        <v>182405581.70504701</v>
      </c>
      <c r="M52">
        <v>126928677.64818799</v>
      </c>
    </row>
    <row r="53" spans="9:13" x14ac:dyDescent="0.25">
      <c r="I53">
        <v>2</v>
      </c>
      <c r="J53" t="s">
        <v>40</v>
      </c>
      <c r="K53">
        <v>33720035.452073</v>
      </c>
      <c r="L53">
        <v>25626824.562592</v>
      </c>
      <c r="M53">
        <v>8093210.8894809997</v>
      </c>
    </row>
    <row r="54" spans="9:13" x14ac:dyDescent="0.25">
      <c r="I54">
        <v>3</v>
      </c>
      <c r="J54" t="s">
        <v>41</v>
      </c>
      <c r="K54">
        <v>44699222.912067004</v>
      </c>
      <c r="L54">
        <v>25316872.197951999</v>
      </c>
      <c r="M54">
        <v>19382350.714115001</v>
      </c>
    </row>
    <row r="55" spans="9:13" x14ac:dyDescent="0.25">
      <c r="I55">
        <v>4</v>
      </c>
      <c r="J55" t="s">
        <v>42</v>
      </c>
      <c r="K55">
        <v>45728766.068461001</v>
      </c>
      <c r="L55">
        <v>30547682.305610001</v>
      </c>
      <c r="M55">
        <v>15181083.762851</v>
      </c>
    </row>
    <row r="56" spans="9:13" x14ac:dyDescent="0.25">
      <c r="I56">
        <v>5</v>
      </c>
      <c r="J56" t="s">
        <v>43</v>
      </c>
      <c r="K56">
        <v>43741044.400288999</v>
      </c>
      <c r="L56">
        <v>28910833.049321</v>
      </c>
      <c r="M56">
        <v>14830211.350966999</v>
      </c>
    </row>
    <row r="57" spans="9:13" x14ac:dyDescent="0.25">
      <c r="I57">
        <v>6</v>
      </c>
      <c r="J57" t="s">
        <v>44</v>
      </c>
      <c r="K57">
        <v>14854413.191059001</v>
      </c>
      <c r="L57">
        <v>11535211.618414</v>
      </c>
      <c r="M57">
        <v>3319201.5726439999</v>
      </c>
    </row>
    <row r="58" spans="9:13" x14ac:dyDescent="0.25">
      <c r="I58">
        <v>7</v>
      </c>
      <c r="J58" t="s">
        <v>45</v>
      </c>
      <c r="K58">
        <v>114483068.90414201</v>
      </c>
      <c r="L58">
        <v>56943403.380039997</v>
      </c>
      <c r="M58">
        <v>57539665.524102002</v>
      </c>
    </row>
    <row r="59" spans="9:13" x14ac:dyDescent="0.25">
      <c r="I59">
        <v>8</v>
      </c>
      <c r="J59" t="s">
        <v>16</v>
      </c>
      <c r="K59">
        <v>42844783.975001</v>
      </c>
      <c r="L59">
        <v>26951823.879365999</v>
      </c>
      <c r="M59">
        <v>15892960.095635001</v>
      </c>
    </row>
    <row r="60" spans="9:13" x14ac:dyDescent="0.25">
      <c r="I60">
        <v>9</v>
      </c>
      <c r="J60" t="s">
        <v>17</v>
      </c>
      <c r="K60">
        <v>65388181.744566999</v>
      </c>
      <c r="L60">
        <v>28583709.196743999</v>
      </c>
      <c r="M60">
        <v>36804472.547822997</v>
      </c>
    </row>
    <row r="62" spans="9:13" x14ac:dyDescent="0.25">
      <c r="K62" s="27">
        <f>(K52-SUM(K53:K58))/SUM(K53:K58)</f>
        <v>4.0735621993855033E-2</v>
      </c>
      <c r="L62" s="27">
        <f t="shared" ref="L62:M62" si="8">(L52-SUM(L53:L58))/SUM(L53:L58)</f>
        <v>1.9704485092038933E-2</v>
      </c>
      <c r="M62" s="27">
        <f t="shared" si="8"/>
        <v>7.2524410324330157E-2</v>
      </c>
    </row>
    <row r="64" spans="9:13" x14ac:dyDescent="0.25">
      <c r="I64" t="s">
        <v>46</v>
      </c>
      <c r="J64" t="s">
        <v>52</v>
      </c>
    </row>
    <row r="66" spans="9:13" x14ac:dyDescent="0.25">
      <c r="J66" t="s">
        <v>36</v>
      </c>
      <c r="K66" t="s">
        <v>22</v>
      </c>
      <c r="L66" t="s">
        <v>37</v>
      </c>
      <c r="M66" t="s">
        <v>38</v>
      </c>
    </row>
    <row r="67" spans="9:13" x14ac:dyDescent="0.25">
      <c r="I67">
        <v>1</v>
      </c>
      <c r="J67" t="s">
        <v>39</v>
      </c>
      <c r="K67">
        <v>314696120.86390698</v>
      </c>
      <c r="L67">
        <v>185462390.76504701</v>
      </c>
      <c r="M67">
        <v>129233730.09886</v>
      </c>
    </row>
    <row r="68" spans="9:13" x14ac:dyDescent="0.25">
      <c r="I68">
        <v>2</v>
      </c>
      <c r="J68" t="s">
        <v>40</v>
      </c>
      <c r="K68">
        <v>33720035.452073</v>
      </c>
      <c r="L68">
        <v>25626824.562592</v>
      </c>
      <c r="M68">
        <v>8093210.8894809997</v>
      </c>
    </row>
    <row r="69" spans="9:13" x14ac:dyDescent="0.25">
      <c r="I69">
        <v>3</v>
      </c>
      <c r="J69" t="s">
        <v>41</v>
      </c>
      <c r="K69">
        <v>44699222.912067004</v>
      </c>
      <c r="L69">
        <v>25316872.197951999</v>
      </c>
      <c r="M69">
        <v>19382350.714115001</v>
      </c>
    </row>
    <row r="70" spans="9:13" x14ac:dyDescent="0.25">
      <c r="I70">
        <v>4</v>
      </c>
      <c r="J70" t="s">
        <v>42</v>
      </c>
      <c r="K70">
        <v>45728766.068461001</v>
      </c>
      <c r="L70">
        <v>30547682.305610001</v>
      </c>
      <c r="M70">
        <v>15181083.762851</v>
      </c>
    </row>
    <row r="71" spans="9:13" x14ac:dyDescent="0.25">
      <c r="I71">
        <v>5</v>
      </c>
      <c r="J71" t="s">
        <v>43</v>
      </c>
      <c r="K71">
        <v>48812172.646196</v>
      </c>
      <c r="L71">
        <v>31896095.724242002</v>
      </c>
      <c r="M71">
        <v>16916076.921953999</v>
      </c>
    </row>
    <row r="72" spans="9:13" x14ac:dyDescent="0.25">
      <c r="I72">
        <v>6</v>
      </c>
      <c r="J72" t="s">
        <v>44</v>
      </c>
      <c r="K72">
        <v>14854413.191059001</v>
      </c>
      <c r="L72">
        <v>11535211.618414</v>
      </c>
      <c r="M72">
        <v>3319201.5726439999</v>
      </c>
    </row>
    <row r="73" spans="9:13" x14ac:dyDescent="0.25">
      <c r="I73">
        <v>7</v>
      </c>
      <c r="J73" t="s">
        <v>45</v>
      </c>
      <c r="K73">
        <v>114483068.90414201</v>
      </c>
      <c r="L73">
        <v>56943403.380039997</v>
      </c>
      <c r="M73">
        <v>57539665.524102002</v>
      </c>
    </row>
    <row r="74" spans="9:13" x14ac:dyDescent="0.25">
      <c r="I74">
        <v>8</v>
      </c>
      <c r="J74" t="s">
        <v>16</v>
      </c>
      <c r="K74">
        <v>42844783.975001</v>
      </c>
      <c r="L74">
        <v>26951823.879365999</v>
      </c>
      <c r="M74">
        <v>15892960.095635001</v>
      </c>
    </row>
    <row r="75" spans="9:13" x14ac:dyDescent="0.25">
      <c r="I75">
        <v>9</v>
      </c>
      <c r="J75" t="s">
        <v>17</v>
      </c>
      <c r="K75">
        <v>65388181.744566999</v>
      </c>
      <c r="L75">
        <v>28583709.196743999</v>
      </c>
      <c r="M75">
        <v>36804472.547822997</v>
      </c>
    </row>
    <row r="77" spans="9:13" x14ac:dyDescent="0.25">
      <c r="K77" s="27">
        <f>(K67-SUM(K68:K73))/SUM(K68:K73)</f>
        <v>4.1014015469078825E-2</v>
      </c>
      <c r="L77" s="27">
        <f t="shared" ref="L77:M77" si="9">(L67-SUM(L68:L73))/SUM(L68:L73)</f>
        <v>1.9774444924682652E-2</v>
      </c>
      <c r="M77" s="27">
        <f t="shared" si="9"/>
        <v>7.3088304809822355E-2</v>
      </c>
    </row>
  </sheetData>
  <mergeCells count="2">
    <mergeCell ref="B9:B11"/>
    <mergeCell ref="A22:A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69040-D106-4196-A34D-287AC2997C30}">
  <dimension ref="A1:F6"/>
  <sheetViews>
    <sheetView workbookViewId="0">
      <selection activeCell="C3" sqref="C3:C6"/>
    </sheetView>
  </sheetViews>
  <sheetFormatPr baseColWidth="10" defaultRowHeight="15" x14ac:dyDescent="0.25"/>
  <cols>
    <col min="2" max="2" width="54.42578125" bestFit="1" customWidth="1"/>
    <col min="3" max="3" width="19.28515625" customWidth="1"/>
    <col min="4" max="4" width="18" customWidth="1"/>
    <col min="5" max="5" width="16.140625" customWidth="1"/>
    <col min="6" max="6" width="20.28515625" customWidth="1"/>
  </cols>
  <sheetData>
    <row r="1" spans="1:6" x14ac:dyDescent="0.25">
      <c r="B1" t="s">
        <v>53</v>
      </c>
      <c r="C1" t="s">
        <v>22</v>
      </c>
      <c r="D1" t="s">
        <v>37</v>
      </c>
      <c r="E1" t="s">
        <v>38</v>
      </c>
      <c r="F1" t="s">
        <v>54</v>
      </c>
    </row>
    <row r="2" spans="1:6" x14ac:dyDescent="0.25">
      <c r="A2">
        <v>1</v>
      </c>
      <c r="B2" t="s">
        <v>55</v>
      </c>
      <c r="C2" s="22">
        <v>1197292009.04357</v>
      </c>
      <c r="D2" s="22">
        <v>185462390.76504701</v>
      </c>
      <c r="E2" s="22">
        <v>233233730.09886</v>
      </c>
      <c r="F2" s="22">
        <v>778595888.17966199</v>
      </c>
    </row>
    <row r="3" spans="1:6" x14ac:dyDescent="0.25">
      <c r="A3">
        <v>2</v>
      </c>
      <c r="B3" t="s">
        <v>39</v>
      </c>
      <c r="C3" s="22">
        <v>314696120.86390698</v>
      </c>
      <c r="D3" s="22">
        <v>185462390.76504701</v>
      </c>
      <c r="E3" s="22">
        <v>129233730.09886</v>
      </c>
      <c r="F3" s="22"/>
    </row>
    <row r="4" spans="1:6" x14ac:dyDescent="0.25">
      <c r="A4">
        <v>11</v>
      </c>
      <c r="B4" t="s">
        <v>56</v>
      </c>
      <c r="C4" s="22">
        <v>37000000</v>
      </c>
      <c r="D4" s="22">
        <v>0</v>
      </c>
      <c r="E4" s="22">
        <v>37000000</v>
      </c>
      <c r="F4" s="22">
        <v>0</v>
      </c>
    </row>
    <row r="5" spans="1:6" x14ac:dyDescent="0.25">
      <c r="A5">
        <v>12</v>
      </c>
      <c r="B5" t="s">
        <v>57</v>
      </c>
      <c r="C5" s="22">
        <v>67000000</v>
      </c>
      <c r="D5" s="22">
        <v>0</v>
      </c>
      <c r="E5" s="22">
        <v>67000000</v>
      </c>
      <c r="F5" s="22">
        <v>0</v>
      </c>
    </row>
    <row r="6" spans="1:6" x14ac:dyDescent="0.25">
      <c r="A6">
        <v>13</v>
      </c>
      <c r="B6" t="s">
        <v>58</v>
      </c>
      <c r="C6" s="22">
        <v>778595888.17966199</v>
      </c>
      <c r="D6" s="22">
        <v>0</v>
      </c>
      <c r="E6" s="22">
        <v>0</v>
      </c>
      <c r="F6" s="22">
        <v>778595888.17966199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Subsystem level data</vt:lpstr>
      <vt:lpstr>System level data</vt:lpstr>
      <vt:lpstr>project level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Conall DE PAOR</dc:creator>
  <cp:lastModifiedBy>Conall DE PAOR</cp:lastModifiedBy>
  <dcterms:created xsi:type="dcterms:W3CDTF">2025-03-11T09:52:47Z</dcterms:created>
  <dcterms:modified xsi:type="dcterms:W3CDTF">2025-03-12T08:06:14Z</dcterms:modified>
</cp:coreProperties>
</file>