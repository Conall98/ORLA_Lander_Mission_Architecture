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cdepaor2\Desktop\ORLA_Lander_Mission_Architecture\"/>
    </mc:Choice>
  </mc:AlternateContent>
  <xr:revisionPtr revIDLastSave="0" documentId="13_ncr:1_{8F9D9499-E3FE-42F7-9CAD-38351E354CF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Real Landers" sheetId="1" r:id="rId1"/>
    <sheet name="Feuil1" sheetId="4" r:id="rId2"/>
    <sheet name="All Real Unmanned Landers" sheetId="2" r:id="rId3"/>
    <sheet name="Just model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" i="4" l="1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29" i="1"/>
  <c r="D29" i="1"/>
  <c r="K20" i="4" l="1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4" i="1"/>
  <c r="L26" i="1"/>
  <c r="K24" i="1"/>
  <c r="K26" i="1"/>
  <c r="L9" i="1"/>
  <c r="K9" i="1"/>
  <c r="F9" i="1"/>
  <c r="G9" i="1" s="1"/>
  <c r="L10" i="1"/>
  <c r="K10" i="1"/>
  <c r="F10" i="1"/>
  <c r="G10" i="1" s="1"/>
  <c r="L15" i="1"/>
  <c r="K15" i="1"/>
  <c r="F15" i="1"/>
  <c r="G15" i="1" s="1"/>
  <c r="L11" i="1"/>
  <c r="K11" i="1"/>
  <c r="F11" i="1"/>
  <c r="G11" i="1" s="1"/>
  <c r="L17" i="1"/>
  <c r="K17" i="1"/>
  <c r="F17" i="1"/>
  <c r="G17" i="1" s="1"/>
  <c r="L16" i="1"/>
  <c r="K16" i="1"/>
  <c r="F16" i="1"/>
  <c r="G16" i="1" s="1"/>
  <c r="L14" i="1"/>
  <c r="K14" i="1"/>
  <c r="F14" i="1"/>
  <c r="G14" i="1" s="1"/>
  <c r="D19" i="1"/>
  <c r="L19" i="1" s="1"/>
  <c r="L25" i="1"/>
  <c r="K25" i="1"/>
  <c r="D12" i="1"/>
  <c r="K12" i="1" s="1"/>
  <c r="F18" i="1"/>
  <c r="D18" i="1"/>
  <c r="F13" i="1"/>
  <c r="D13" i="1"/>
  <c r="F20" i="1"/>
  <c r="D20" i="1"/>
  <c r="K20" i="1" s="1"/>
  <c r="L22" i="1"/>
  <c r="K22" i="1"/>
  <c r="L21" i="1"/>
  <c r="K21" i="1"/>
  <c r="L2" i="1"/>
  <c r="K2" i="1"/>
  <c r="F2" i="1"/>
  <c r="G2" i="1" s="1"/>
  <c r="L4" i="1"/>
  <c r="K4" i="1"/>
  <c r="F4" i="1"/>
  <c r="L7" i="1"/>
  <c r="K7" i="1"/>
  <c r="F7" i="1"/>
  <c r="L6" i="1"/>
  <c r="K6" i="1"/>
  <c r="F6" i="1"/>
  <c r="L5" i="1"/>
  <c r="K5" i="1"/>
  <c r="F5" i="1"/>
  <c r="L8" i="1"/>
  <c r="K8" i="1"/>
  <c r="F8" i="1"/>
  <c r="L3" i="1"/>
  <c r="K3" i="1"/>
  <c r="F3" i="1"/>
  <c r="G3" i="1" s="1"/>
  <c r="L30" i="1"/>
  <c r="K30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3" i="1"/>
  <c r="K13" i="1"/>
  <c r="K18" i="1"/>
  <c r="F19" i="1"/>
  <c r="L18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30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<sst xmlns="http://schemas.openxmlformats.org/spreadsheetml/2006/main" count="240" uniqueCount="59">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</sst>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D2" sqref="D2:E3"/>
    </sheetView>
  </sheetViews>
  <sheetFormatPr baseColWidth="10" defaultColWidth="8.88671875" defaultRowHeight="14.4" x14ac:dyDescent="0.3"/>
  <cols>
    <col min="2" max="2" width="16" bestFit="1" customWidth="1"/>
    <col min="3" max="3" width="9.6640625" bestFit="1" customWidth="1"/>
    <col min="4" max="4" width="8.44140625" bestFit="1" customWidth="1"/>
    <col min="5" max="5" width="18.5546875" bestFit="1" customWidth="1"/>
    <col min="6" max="6" width="18" bestFit="1" customWidth="1"/>
    <col min="7" max="7" width="9.88671875" bestFit="1" customWidth="1"/>
    <col min="8" max="8" width="15.88671875" customWidth="1"/>
    <col min="9" max="9" width="11.44140625" customWidth="1"/>
    <col min="12" max="12" width="10.44140625" bestFit="1" customWidth="1"/>
  </cols>
  <sheetData>
    <row r="1" spans="1:13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3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  <c r="M2" s="4"/>
    </row>
    <row r="3" spans="1:13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  <c r="M3" s="4"/>
    </row>
    <row r="4" spans="1:13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  <c r="M4" s="4"/>
    </row>
    <row r="5" spans="1:13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  <c r="M5" s="4"/>
    </row>
    <row r="6" spans="1:13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  <c r="M6" s="4"/>
    </row>
    <row r="7" spans="1:13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  <c r="M7" s="4"/>
    </row>
    <row r="8" spans="1:13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  <c r="M8" s="4"/>
    </row>
    <row r="9" spans="1:13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  <c r="M9" s="4"/>
    </row>
    <row r="10" spans="1:13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  <c r="M10" s="4"/>
    </row>
    <row r="11" spans="1:13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  <c r="M11" s="4"/>
    </row>
    <row r="12" spans="1:13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  <c r="M12" s="4"/>
    </row>
    <row r="13" spans="1:13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  <c r="M13" s="4"/>
    </row>
    <row r="14" spans="1:13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  <c r="M14" s="4"/>
    </row>
    <row r="15" spans="1:13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  <c r="M15" s="4"/>
    </row>
    <row r="16" spans="1:13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  <c r="M16" s="4"/>
    </row>
    <row r="17" spans="1:13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  <c r="M17" s="4"/>
    </row>
    <row r="18" spans="1:13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  <c r="M18" s="4"/>
    </row>
    <row r="19" spans="1:13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  <c r="M19" s="4"/>
    </row>
    <row r="20" spans="1:13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  <c r="M20" s="4"/>
    </row>
    <row r="21" spans="1:13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  <c r="M21" s="4"/>
    </row>
    <row r="22" spans="1:13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  <c r="M22" s="4"/>
    </row>
    <row r="23" spans="1:13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  <c r="M23" s="4"/>
    </row>
    <row r="24" spans="1:13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  <c r="M24" s="4"/>
    </row>
    <row r="25" spans="1:13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  <c r="M25" s="4"/>
    </row>
    <row r="26" spans="1:13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  <c r="M26" s="4"/>
    </row>
    <row r="27" spans="1:13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  <c r="M27" s="4"/>
    </row>
    <row r="28" spans="1:13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3" x14ac:dyDescent="0.3">
      <c r="A29" s="5">
        <v>2024</v>
      </c>
      <c r="B29" s="6" t="s">
        <v>51</v>
      </c>
      <c r="C29" s="5">
        <v>1908</v>
      </c>
      <c r="D29" s="8">
        <f>675-E29</f>
        <v>545</v>
      </c>
      <c r="E29" s="5">
        <v>130</v>
      </c>
      <c r="F29" s="8">
        <v>1276</v>
      </c>
      <c r="G29" s="5">
        <f>675</f>
        <v>675</v>
      </c>
      <c r="H29" s="5" t="s">
        <v>52</v>
      </c>
      <c r="I29" s="5">
        <v>360</v>
      </c>
      <c r="J29" s="10"/>
      <c r="K29" s="3"/>
    </row>
    <row r="30" spans="1:13" x14ac:dyDescent="0.3">
      <c r="A30" s="5">
        <v>2024</v>
      </c>
      <c r="B30" s="6" t="s">
        <v>12</v>
      </c>
      <c r="C30" s="5">
        <v>710</v>
      </c>
      <c r="D30" s="5">
        <v>190</v>
      </c>
      <c r="E30" s="5">
        <v>20</v>
      </c>
      <c r="F30" s="5">
        <v>500</v>
      </c>
      <c r="G30" s="5">
        <v>210</v>
      </c>
      <c r="H30" s="5" t="s">
        <v>13</v>
      </c>
      <c r="I30" s="5">
        <v>328</v>
      </c>
      <c r="J30" s="5">
        <v>2774</v>
      </c>
      <c r="K30" s="3">
        <f>E30/D30</f>
        <v>0.10526315789473684</v>
      </c>
      <c r="L30" s="3">
        <f>E30/(D30+E30)</f>
        <v>9.5238095238095233E-2</v>
      </c>
    </row>
  </sheetData>
  <sortState xmlns:xlrd2="http://schemas.microsoft.com/office/spreadsheetml/2017/richdata2" ref="A2:L30">
    <sortCondition ref="A2:A30"/>
  </sortState>
  <conditionalFormatting sqref="K2:K30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workbookViewId="0">
      <selection sqref="A1:L32"/>
    </sheetView>
  </sheetViews>
  <sheetFormatPr baseColWidth="10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3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3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3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3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workbookViewId="0">
      <selection activeCell="O24" sqref="O24"/>
    </sheetView>
  </sheetViews>
  <sheetFormatPr baseColWidth="10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3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3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3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3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3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3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3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3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3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3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3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3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3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3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3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3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3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3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3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3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3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3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3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3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3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All Real Landers</vt:lpstr>
      <vt:lpstr>Feuil1</vt:lpstr>
      <vt:lpstr>All Real Unmanned Landers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2025-03-21T14:13:18Z</dcterms:modified>
</cp:coreProperties>
</file>