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depaor2\Desktop\ORLA_Lander_Mission_Architecture\"/>
    </mc:Choice>
  </mc:AlternateContent>
  <xr:revisionPtr revIDLastSave="0" documentId="13_ncr:1_{CD2B9FDE-B9D9-4FE4-A6DE-5A5038FACF6C}" xr6:coauthVersionLast="47" xr6:coauthVersionMax="47" xr10:uidLastSave="{00000000-0000-0000-0000-000000000000}"/>
  <bookViews>
    <workbookView xWindow="-28920" yWindow="-120" windowWidth="29040" windowHeight="15720" xr2:uid="{69C8745A-9C92-45EB-911F-DC35D6424AA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F10" i="1"/>
  <c r="D10" i="1"/>
  <c r="I3" i="1"/>
  <c r="I4" i="1"/>
  <c r="I5" i="1"/>
  <c r="I6" i="1"/>
  <c r="I7" i="1"/>
  <c r="I2" i="1"/>
  <c r="F3" i="1"/>
  <c r="F4" i="1"/>
  <c r="F5" i="1"/>
  <c r="F6" i="1"/>
  <c r="F7" i="1"/>
  <c r="F8" i="1"/>
  <c r="F9" i="1"/>
  <c r="F2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<sst xmlns="http://schemas.openxmlformats.org/spreadsheetml/2006/main" count="28" uniqueCount="28">
  <si>
    <t>Launcher</t>
  </si>
  <si>
    <t>sources</t>
  </si>
  <si>
    <t>Falcon Heavy</t>
  </si>
  <si>
    <t>https://www.spacex.com/media/Capabilities&amp;Services.pdf</t>
  </si>
  <si>
    <t>Atlas V 551</t>
  </si>
  <si>
    <t>Ariane 6 A64</t>
  </si>
  <si>
    <t>Falcon 9 FT</t>
  </si>
  <si>
    <t>SLS B1</t>
  </si>
  <si>
    <t>Vega</t>
  </si>
  <si>
    <t>electron</t>
  </si>
  <si>
    <t>https://www.rocketlabusa.com/updates/rocket-lab-usa-poised-to-change-the-space-industry/</t>
  </si>
  <si>
    <t>Anteres</t>
  </si>
  <si>
    <t>https://www.gao.gov/assets/gao-17-609.pdf</t>
  </si>
  <si>
    <t>$/launch</t>
  </si>
  <si>
    <t>mp2LEO</t>
  </si>
  <si>
    <t>mp2GTO</t>
  </si>
  <si>
    <t>https://www.spacex.com/vehicles/falcon-heavy/</t>
  </si>
  <si>
    <t>https://www.rocketbuilder.com/start/configure
https://www.ulalaunch.com/docs/default-source/rockets/atlasvusersguide2010.pdf</t>
  </si>
  <si>
    <t>https://www.lemonde.fr/economie/article/2014/12/01/les-europeens-s-appretent-a-mettre-ariane-6-en-chantier_4532259_3234.html
https://ariane.group/app/uploads/sites/4/2024/10/Mua-6_Issue-2_Revision-0_March-2021.pdf</t>
  </si>
  <si>
    <t>mp2TLI</t>
  </si>
  <si>
    <t>mp2arb</t>
  </si>
  <si>
    <t>$/kg LEO</t>
  </si>
  <si>
    <t>Ek</t>
  </si>
  <si>
    <t>md_upper_stage</t>
  </si>
  <si>
    <t>https://www.whitehouse.gov/wp-content/uploads/2019/10/shelby-mega-approps-10-23-19.pdf
with ICPS as the upper stage gives 42000</t>
  </si>
  <si>
    <t>https://en.wikipedia.org/wiki/Vega_C</t>
  </si>
  <si>
    <t>Soyuz 2.1a</t>
  </si>
  <si>
    <t>https://en.wikipedia.org/wiki/Soyuz-2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</si>
</sst>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0" xfId="1"/>
    <xf numFmtId="0" fontId="0" fillId="3" borderId="0" xfId="0" applyFill="1" applyAlignment="1">
      <alignment horizontal="center"/>
    </xf>
    <xf numFmtId="3" fontId="0" fillId="3" borderId="0" xfId="0" applyNumberForma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0" xfId="0" applyFill="1" applyAlignment="1"/>
    <xf numFmtId="0" fontId="0" fillId="0" borderId="0" xfId="0" applyAlignment="1"/>
    <xf numFmtId="0" fontId="1" fillId="0" borderId="0" xfId="1" applyAlignment="1"/>
    <xf numFmtId="3" fontId="0" fillId="4" borderId="0" xfId="0" applyNumberFormat="1" applyFill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hitehouse.gov/wp-content/uploads/2019/10/shelby-mega-approps-10-23-19.pdfwith%20ICPS%20as%20the%20upper%20stage%20gives%2042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460DE-E610-40B3-9869-D6A1A40F73E6}">
  <dimension ref="A1:J11"/>
  <sheetViews>
    <sheetView tabSelected="1" workbookViewId="0">
      <selection activeCell="D13" sqref="D13"/>
    </sheetView>
  </sheetViews>
  <sheetFormatPr baseColWidth="10" defaultRowHeight="15" x14ac:dyDescent="0.25"/>
  <cols>
    <col min="1" max="1" width="12.5703125" bestFit="1" customWidth="1"/>
    <col min="2" max="2" width="32.42578125" customWidth="1"/>
    <col min="3" max="5" width="21.28515625" customWidth="1"/>
    <col min="6" max="6" width="15.42578125" customWidth="1"/>
    <col min="7" max="7" width="7.85546875" bestFit="1" customWidth="1"/>
    <col min="8" max="8" width="8.5703125" bestFit="1" customWidth="1"/>
    <col min="9" max="9" width="15.42578125" customWidth="1"/>
    <col min="10" max="10" width="24" customWidth="1"/>
  </cols>
  <sheetData>
    <row r="1" spans="1:10" x14ac:dyDescent="0.25">
      <c r="A1" s="1" t="s">
        <v>0</v>
      </c>
      <c r="B1" s="1" t="s">
        <v>13</v>
      </c>
      <c r="C1" s="1" t="s">
        <v>14</v>
      </c>
      <c r="D1" s="1" t="s">
        <v>21</v>
      </c>
      <c r="E1" s="1" t="s">
        <v>23</v>
      </c>
      <c r="F1" s="1" t="s">
        <v>22</v>
      </c>
      <c r="G1" s="1" t="s">
        <v>20</v>
      </c>
      <c r="H1" s="1" t="s">
        <v>15</v>
      </c>
      <c r="I1" s="1" t="s">
        <v>19</v>
      </c>
      <c r="J1" s="1" t="s">
        <v>1</v>
      </c>
    </row>
    <row r="2" spans="1:10" x14ac:dyDescent="0.25">
      <c r="A2" s="2" t="s">
        <v>2</v>
      </c>
      <c r="B2" s="3">
        <v>150000000</v>
      </c>
      <c r="C2" s="2">
        <v>63800</v>
      </c>
      <c r="D2" s="3">
        <f>B2/C2</f>
        <v>2351.0971786833857</v>
      </c>
      <c r="E2" s="3">
        <v>3900</v>
      </c>
      <c r="F2" s="2">
        <f>0.5*(C2+E2)*9500^2</f>
        <v>3054962500000</v>
      </c>
      <c r="H2" s="3">
        <v>26700</v>
      </c>
      <c r="I2" s="3">
        <f>2*F2/(13400^2)-E2</f>
        <v>30127.205390955671</v>
      </c>
      <c r="J2" s="4" t="s">
        <v>16</v>
      </c>
    </row>
    <row r="3" spans="1:10" x14ac:dyDescent="0.25">
      <c r="A3" s="5" t="s">
        <v>4</v>
      </c>
      <c r="B3" s="6">
        <v>73000000</v>
      </c>
      <c r="C3" s="5">
        <v>18831</v>
      </c>
      <c r="D3" s="6">
        <f>B3/C3</f>
        <v>3876.5864797408531</v>
      </c>
      <c r="E3" s="6">
        <v>2462</v>
      </c>
      <c r="F3" s="2">
        <f t="shared" ref="F3:F11" si="0">0.5*(C3+E3)*9500^2</f>
        <v>960846625000</v>
      </c>
      <c r="G3" s="7"/>
      <c r="H3" s="6">
        <v>8900</v>
      </c>
      <c r="I3" s="3">
        <f t="shared" ref="I3:I11" si="1">2*F3/(13400^2)-E3</f>
        <v>8240.2346290933401</v>
      </c>
      <c r="J3" s="9" t="s">
        <v>17</v>
      </c>
    </row>
    <row r="4" spans="1:10" x14ac:dyDescent="0.25">
      <c r="A4" s="2" t="s">
        <v>5</v>
      </c>
      <c r="B4" s="3">
        <v>115000000</v>
      </c>
      <c r="C4" s="2">
        <v>21650</v>
      </c>
      <c r="D4" s="3">
        <f>B4/C4</f>
        <v>5311.778290993072</v>
      </c>
      <c r="E4" s="12">
        <v>3500</v>
      </c>
      <c r="F4" s="2">
        <f t="shared" si="0"/>
        <v>1134893750000</v>
      </c>
      <c r="H4" s="3">
        <v>11500</v>
      </c>
      <c r="I4" s="3">
        <f t="shared" si="1"/>
        <v>9140.8303631098242</v>
      </c>
      <c r="J4" s="10" t="s">
        <v>18</v>
      </c>
    </row>
    <row r="5" spans="1:10" x14ac:dyDescent="0.25">
      <c r="A5" s="5" t="s">
        <v>6</v>
      </c>
      <c r="B5" s="6">
        <v>67000000</v>
      </c>
      <c r="C5" s="5">
        <v>22800</v>
      </c>
      <c r="D5" s="6">
        <f>B5/C5</f>
        <v>2938.5964912280701</v>
      </c>
      <c r="E5" s="6">
        <v>3900</v>
      </c>
      <c r="F5" s="2">
        <f t="shared" si="0"/>
        <v>1204837500000</v>
      </c>
      <c r="G5" s="7"/>
      <c r="H5" s="6">
        <v>8300</v>
      </c>
      <c r="I5" s="3">
        <f t="shared" si="1"/>
        <v>9519.8875027845843</v>
      </c>
      <c r="J5" s="7" t="s">
        <v>3</v>
      </c>
    </row>
    <row r="6" spans="1:10" x14ac:dyDescent="0.25">
      <c r="A6" s="2" t="s">
        <v>7</v>
      </c>
      <c r="B6" s="3">
        <v>2000000000</v>
      </c>
      <c r="C6" s="2">
        <v>95000</v>
      </c>
      <c r="D6" s="3">
        <f>B6/C6</f>
        <v>21052.63157894737</v>
      </c>
      <c r="E6" s="3">
        <v>3490</v>
      </c>
      <c r="F6" s="2">
        <f t="shared" si="0"/>
        <v>4444361250000</v>
      </c>
      <c r="H6" s="3"/>
      <c r="I6" s="3">
        <f t="shared" si="1"/>
        <v>46012.798507462685</v>
      </c>
      <c r="J6" s="11" t="s">
        <v>24</v>
      </c>
    </row>
    <row r="7" spans="1:10" x14ac:dyDescent="0.25">
      <c r="A7" s="5" t="s">
        <v>8</v>
      </c>
      <c r="B7" s="6">
        <v>37000000</v>
      </c>
      <c r="C7" s="5">
        <v>3300</v>
      </c>
      <c r="D7" s="6">
        <f>B7/C7</f>
        <v>11212.121212121212</v>
      </c>
      <c r="E7" s="6">
        <v>698</v>
      </c>
      <c r="F7" s="2">
        <f t="shared" si="0"/>
        <v>180409750000</v>
      </c>
      <c r="G7" s="5">
        <v>1700</v>
      </c>
      <c r="H7" s="6"/>
      <c r="I7" s="3">
        <f t="shared" si="1"/>
        <v>1311.4648028514146</v>
      </c>
      <c r="J7" s="7" t="s">
        <v>25</v>
      </c>
    </row>
    <row r="8" spans="1:10" x14ac:dyDescent="0.25">
      <c r="A8" s="2" t="s">
        <v>9</v>
      </c>
      <c r="B8" s="3">
        <v>5300000</v>
      </c>
      <c r="C8" s="2">
        <v>220</v>
      </c>
      <c r="D8" s="3">
        <f>B8/C8</f>
        <v>24090.909090909092</v>
      </c>
      <c r="E8" s="12"/>
      <c r="F8" s="2">
        <f t="shared" si="0"/>
        <v>9927500000</v>
      </c>
      <c r="H8" s="3"/>
      <c r="I8" s="12"/>
      <c r="J8" t="s">
        <v>10</v>
      </c>
    </row>
    <row r="9" spans="1:10" x14ac:dyDescent="0.25">
      <c r="A9" s="5" t="s">
        <v>11</v>
      </c>
      <c r="B9" s="6">
        <v>85000000</v>
      </c>
      <c r="C9" s="5">
        <v>8200</v>
      </c>
      <c r="D9" s="6">
        <f>B9/C9</f>
        <v>10365.853658536585</v>
      </c>
      <c r="E9" s="12"/>
      <c r="F9" s="2">
        <f t="shared" si="0"/>
        <v>370025000000</v>
      </c>
      <c r="G9" s="7"/>
      <c r="H9" s="6"/>
      <c r="I9" s="12"/>
      <c r="J9" s="8" t="s">
        <v>12</v>
      </c>
    </row>
    <row r="10" spans="1:10" x14ac:dyDescent="0.25">
      <c r="A10" s="2" t="s">
        <v>26</v>
      </c>
      <c r="B10" s="3">
        <v>48500000</v>
      </c>
      <c r="C10" s="2">
        <v>7430</v>
      </c>
      <c r="D10" s="3">
        <f>B10/C10</f>
        <v>6527.5908479138625</v>
      </c>
      <c r="E10" s="3">
        <v>2355</v>
      </c>
      <c r="F10" s="2">
        <f t="shared" si="0"/>
        <v>441548125000</v>
      </c>
      <c r="I10" s="3">
        <f t="shared" si="1"/>
        <v>2563.1123301403431</v>
      </c>
      <c r="J10" t="s">
        <v>27</v>
      </c>
    </row>
    <row r="11" spans="1:10" x14ac:dyDescent="0.25">
      <c r="A11" s="5"/>
      <c r="B11" s="2"/>
      <c r="C11" s="2"/>
      <c r="D11" s="2"/>
      <c r="E11" s="2"/>
      <c r="F11" s="2"/>
      <c r="G11" s="2"/>
      <c r="H11" s="2"/>
      <c r="I11" s="3"/>
    </row>
  </sheetData>
  <hyperlinks>
    <hyperlink ref="J6" r:id="rId1" xr:uid="{1807F689-637C-488C-ADF8-2756B857EF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Conall DE PAOR</dc:creator>
  <cp:lastModifiedBy>Conall DE PAOR</cp:lastModifiedBy>
  <dcterms:created xsi:type="dcterms:W3CDTF">2025-02-18T10:23:08Z</dcterms:created>
  <dcterms:modified xsi:type="dcterms:W3CDTF">2025-02-18T15:42:10Z</dcterms:modified>
</cp:coreProperties>
</file>